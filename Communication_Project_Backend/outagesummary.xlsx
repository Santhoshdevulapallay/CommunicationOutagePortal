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leep\"/>
    </mc:Choice>
  </mc:AlternateContent>
  <xr:revisionPtr revIDLastSave="0" documentId="8_{405189D1-A607-4840-B151-5ADF597E64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bstract-Availed Vs Not Availed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5" l="1"/>
  <c r="I11" i="5"/>
  <c r="N21" i="5" l="1"/>
  <c r="M21" i="5"/>
  <c r="L21" i="5"/>
  <c r="K21" i="5"/>
  <c r="F21" i="5"/>
  <c r="E21" i="5"/>
  <c r="C21" i="5"/>
  <c r="B21" i="5"/>
  <c r="I20" i="5"/>
  <c r="H20" i="5"/>
  <c r="I19" i="5"/>
  <c r="H19" i="5"/>
  <c r="I18" i="5"/>
  <c r="H18" i="5"/>
  <c r="I17" i="5"/>
  <c r="H17" i="5"/>
  <c r="I16" i="5"/>
  <c r="H16" i="5"/>
  <c r="I15" i="5"/>
  <c r="H15" i="5"/>
  <c r="I14" i="5"/>
  <c r="H14" i="5"/>
  <c r="I13" i="5"/>
  <c r="H13" i="5"/>
  <c r="I12" i="5"/>
  <c r="H12" i="5"/>
  <c r="I10" i="5"/>
  <c r="H10" i="5"/>
  <c r="I9" i="5"/>
  <c r="H9" i="5"/>
  <c r="I8" i="5"/>
  <c r="H8" i="5"/>
  <c r="I7" i="5"/>
  <c r="H7" i="5"/>
  <c r="I6" i="5"/>
  <c r="H6" i="5"/>
  <c r="I5" i="5"/>
  <c r="H5" i="5"/>
  <c r="J5" i="5" l="1"/>
  <c r="I21" i="5"/>
  <c r="H21" i="5"/>
  <c r="J7" i="5"/>
  <c r="J19" i="5"/>
  <c r="J17" i="5"/>
  <c r="J9" i="5"/>
  <c r="G21" i="5"/>
  <c r="J15" i="5"/>
  <c r="J13" i="5"/>
  <c r="J11" i="5"/>
  <c r="D21" i="5"/>
  <c r="J21" i="5" l="1"/>
</calcChain>
</file>

<file path=xl/sharedStrings.xml><?xml version="1.0" encoding="utf-8"?>
<sst xmlns="http://schemas.openxmlformats.org/spreadsheetml/2006/main" count="30" uniqueCount="25">
  <si>
    <t>PGCIL SR 1</t>
  </si>
  <si>
    <t>PGCIL SR 2</t>
  </si>
  <si>
    <t>APTRANSCO</t>
  </si>
  <si>
    <t>KPTCL</t>
  </si>
  <si>
    <t>KSEBL</t>
  </si>
  <si>
    <t>TANTRANSCO</t>
  </si>
  <si>
    <t>TSTRANSCO</t>
  </si>
  <si>
    <t>PED</t>
  </si>
  <si>
    <t>Abstract on the outages of communication links and equipment availed</t>
  </si>
  <si>
    <t>Approved Vs Availed &amp; Unplanned outages</t>
  </si>
  <si>
    <t>Entity</t>
  </si>
  <si>
    <t>Approved Links</t>
  </si>
  <si>
    <t>Approved Equipment</t>
  </si>
  <si>
    <t>Links &amp; Equipment, Approved</t>
  </si>
  <si>
    <t>No of planned outages not proposed in COM SR</t>
  </si>
  <si>
    <t>No of Forced Outages</t>
  </si>
  <si>
    <t>Nos approved</t>
  </si>
  <si>
    <t>Nos availed</t>
  </si>
  <si>
    <t>% Availed</t>
  </si>
  <si>
    <t>Total Approved</t>
  </si>
  <si>
    <t>Total Availed</t>
  </si>
  <si>
    <t>Total % availed</t>
  </si>
  <si>
    <t>Links</t>
  </si>
  <si>
    <t>Equipment</t>
  </si>
  <si>
    <t>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</si>
</sst>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66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" fillId="3" borderId="14" xfId="0" applyFont="1" applyFill="1" applyBorder="1" applyAlignment="1">
      <alignment vertical="center"/>
    </xf>
    <xf numFmtId="0" fontId="3" fillId="3" borderId="9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2" fontId="3" fillId="3" borderId="6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2" fontId="3" fillId="3" borderId="5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2" fontId="4" fillId="4" borderId="6" xfId="0" applyNumberFormat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ill>
        <patternFill patternType="solid">
          <bgColor rgb="FFFF6600"/>
        </patternFill>
      </fill>
    </dxf>
    <dxf>
      <font>
        <b/>
        <i val="0"/>
        <color auto="1"/>
      </font>
      <fill>
        <patternFill patternType="solid"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21"/>
  <sheetViews>
    <sheetView tabSelected="1" view="pageBreakPreview" zoomScaleSheetLayoutView="100" workbookViewId="0">
      <selection activeCell="M5" sqref="M5:N20"/>
    </sheetView>
  </sheetViews>
  <sheetFormatPr defaultColWidth="9.140625" defaultRowHeight="15"/>
  <cols>
    <col min="1" max="1" width="12.85546875" customWidth="1"/>
    <col min="2" max="2" width="9.85546875" customWidth="1"/>
    <col min="5" max="5" width="11" customWidth="1"/>
    <col min="6" max="6" width="10.5703125" customWidth="1"/>
    <col min="8" max="8" width="10.28515625" customWidth="1"/>
    <col min="10" max="10" width="11.5703125" customWidth="1"/>
    <col min="11" max="11" width="11.140625" customWidth="1"/>
    <col min="12" max="12" width="12.28515625" customWidth="1"/>
    <col min="13" max="13" width="9.140625" customWidth="1"/>
    <col min="14" max="14" width="10.85546875" customWidth="1"/>
  </cols>
  <sheetData>
    <row r="1" spans="1:14" ht="26.25">
      <c r="A1" s="33" t="s">
        <v>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5"/>
    </row>
    <row r="2" spans="1:14" ht="21.75" customHeight="1">
      <c r="A2" s="36" t="s">
        <v>9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8"/>
    </row>
    <row r="3" spans="1:14" ht="36" customHeight="1">
      <c r="A3" s="49" t="s">
        <v>10</v>
      </c>
      <c r="B3" s="39" t="s">
        <v>11</v>
      </c>
      <c r="C3" s="40"/>
      <c r="D3" s="41"/>
      <c r="E3" s="39" t="s">
        <v>12</v>
      </c>
      <c r="F3" s="40"/>
      <c r="G3" s="41"/>
      <c r="H3" s="42" t="s">
        <v>13</v>
      </c>
      <c r="I3" s="43"/>
      <c r="J3" s="44"/>
      <c r="K3" s="45" t="s">
        <v>14</v>
      </c>
      <c r="L3" s="46"/>
      <c r="M3" s="47" t="s">
        <v>15</v>
      </c>
      <c r="N3" s="48"/>
    </row>
    <row r="4" spans="1:14" ht="35.25" customHeight="1">
      <c r="A4" s="50"/>
      <c r="B4" s="1" t="s">
        <v>16</v>
      </c>
      <c r="C4" s="4" t="s">
        <v>17</v>
      </c>
      <c r="D4" s="2" t="s">
        <v>18</v>
      </c>
      <c r="E4" s="1" t="s">
        <v>16</v>
      </c>
      <c r="F4" s="4" t="s">
        <v>17</v>
      </c>
      <c r="G4" s="1" t="s">
        <v>18</v>
      </c>
      <c r="H4" s="10" t="s">
        <v>19</v>
      </c>
      <c r="I4" s="22" t="s">
        <v>20</v>
      </c>
      <c r="J4" s="23" t="s">
        <v>21</v>
      </c>
      <c r="K4" s="3" t="s">
        <v>22</v>
      </c>
      <c r="L4" s="2" t="s">
        <v>23</v>
      </c>
      <c r="M4" s="24" t="s">
        <v>22</v>
      </c>
      <c r="N4" s="25" t="s">
        <v>23</v>
      </c>
    </row>
    <row r="5" spans="1:14">
      <c r="A5" s="5" t="s">
        <v>0</v>
      </c>
      <c r="B5" s="11"/>
      <c r="C5" s="12"/>
      <c r="D5" s="13"/>
      <c r="E5" s="14"/>
      <c r="F5" s="12"/>
      <c r="G5" s="15"/>
      <c r="H5" s="11" t="str">
        <f>IF(((B5+E5)&gt;0),(B5+E5),"")</f>
        <v/>
      </c>
      <c r="I5" s="12" t="str">
        <f>IF(((C5+F5)&gt;0),(C5+F5),"")</f>
        <v/>
      </c>
      <c r="J5" s="13" t="str">
        <f>IF(AND(H5&gt;0,I5&lt;&gt;""),I5*100/H5,IF(AND(H5="",I5=""),"No Outage","0.00"))</f>
        <v>No Outage</v>
      </c>
      <c r="K5" s="7"/>
      <c r="L5" s="6"/>
      <c r="M5" s="26"/>
      <c r="N5" s="27"/>
    </row>
    <row r="6" spans="1:14" ht="10.5" customHeight="1">
      <c r="A6" s="5"/>
      <c r="B6" s="11"/>
      <c r="C6" s="12"/>
      <c r="D6" s="13"/>
      <c r="E6" s="14"/>
      <c r="F6" s="12"/>
      <c r="G6" s="15"/>
      <c r="H6" s="11" t="str">
        <f t="shared" ref="H6:H21" si="0">IF(((B6+E6)&gt;0),(B6+E6),"")</f>
        <v/>
      </c>
      <c r="I6" s="12" t="str">
        <f t="shared" ref="I6:I21" si="1">IF(((C6+F6)&gt;0),(C6+F6),"")</f>
        <v/>
      </c>
      <c r="J6" s="13"/>
      <c r="K6" s="7"/>
      <c r="L6" s="6"/>
      <c r="M6" s="26"/>
      <c r="N6" s="27"/>
    </row>
    <row r="7" spans="1:14">
      <c r="A7" s="5" t="s">
        <v>1</v>
      </c>
      <c r="B7" s="11"/>
      <c r="C7" s="12"/>
      <c r="D7" s="13"/>
      <c r="E7" s="14"/>
      <c r="F7" s="12"/>
      <c r="G7" s="15"/>
      <c r="H7" s="11" t="str">
        <f t="shared" si="0"/>
        <v/>
      </c>
      <c r="I7" s="12" t="str">
        <f t="shared" si="1"/>
        <v/>
      </c>
      <c r="J7" s="13" t="str">
        <f>IF(AND(H7&gt;0,I7&lt;&gt;""),I7*100/H7,IF(AND(H7="",I7=""),"No Outage","0.00"))</f>
        <v>No Outage</v>
      </c>
      <c r="K7" s="7"/>
      <c r="L7" s="6"/>
      <c r="M7" s="26"/>
      <c r="N7" s="27"/>
    </row>
    <row r="8" spans="1:14" ht="10.5" customHeight="1">
      <c r="A8" s="5"/>
      <c r="B8" s="11"/>
      <c r="C8" s="12"/>
      <c r="D8" s="13"/>
      <c r="E8" s="14"/>
      <c r="F8" s="12"/>
      <c r="G8" s="15"/>
      <c r="H8" s="11" t="str">
        <f t="shared" si="0"/>
        <v/>
      </c>
      <c r="I8" s="12" t="str">
        <f t="shared" si="1"/>
        <v/>
      </c>
      <c r="J8" s="13"/>
      <c r="K8" s="7"/>
      <c r="L8" s="6"/>
      <c r="M8" s="26"/>
      <c r="N8" s="27"/>
    </row>
    <row r="9" spans="1:14">
      <c r="A9" s="5" t="s">
        <v>2</v>
      </c>
      <c r="B9" s="11"/>
      <c r="C9" s="12"/>
      <c r="D9" s="13"/>
      <c r="E9" s="14"/>
      <c r="F9" s="12"/>
      <c r="G9" s="15"/>
      <c r="H9" s="11" t="str">
        <f t="shared" si="0"/>
        <v/>
      </c>
      <c r="I9" s="12" t="str">
        <f t="shared" si="1"/>
        <v/>
      </c>
      <c r="J9" s="13" t="str">
        <f>IF(AND(H9&gt;0,I9&lt;&gt;""),I9*100/H9,IF(AND(H9="",I9=""),"No Outage","0.00"))</f>
        <v>No Outage</v>
      </c>
      <c r="K9" s="7"/>
      <c r="L9" s="6"/>
      <c r="M9" s="26"/>
      <c r="N9" s="27"/>
    </row>
    <row r="10" spans="1:14" ht="11.25" customHeight="1">
      <c r="A10" s="5"/>
      <c r="B10" s="11"/>
      <c r="C10" s="12"/>
      <c r="D10" s="13"/>
      <c r="E10" s="14"/>
      <c r="F10" s="12"/>
      <c r="G10" s="15"/>
      <c r="H10" s="11" t="str">
        <f t="shared" si="0"/>
        <v/>
      </c>
      <c r="I10" s="12" t="str">
        <f t="shared" si="1"/>
        <v/>
      </c>
      <c r="J10" s="13"/>
      <c r="K10" s="7"/>
      <c r="L10" s="6"/>
      <c r="M10" s="26"/>
      <c r="N10" s="27"/>
    </row>
    <row r="11" spans="1:14">
      <c r="A11" s="5" t="s">
        <v>3</v>
      </c>
      <c r="B11" s="11"/>
      <c r="C11" s="12"/>
      <c r="D11" s="13"/>
      <c r="E11" s="14"/>
      <c r="F11" s="12"/>
      <c r="G11" s="15"/>
      <c r="H11" s="11" t="str">
        <f t="shared" ref="H11" si="2">IF(((B11+E11)&gt;0),(B11+E11),"")</f>
        <v/>
      </c>
      <c r="I11" s="12" t="str">
        <f t="shared" ref="I11" si="3">IF(((C11+F11)&gt;0),(C11+F11),"")</f>
        <v/>
      </c>
      <c r="J11" s="13" t="str">
        <f>IF(AND(H11&gt;0,I11&lt;&gt;""),I11*100/H11,IF(AND(H11="",I11=""),"No Outage","0.00"))</f>
        <v>No Outage</v>
      </c>
      <c r="K11" s="7"/>
      <c r="L11" s="6"/>
      <c r="M11" s="26"/>
      <c r="N11" s="27"/>
    </row>
    <row r="12" spans="1:14" ht="10.5" customHeight="1">
      <c r="A12" s="5"/>
      <c r="B12" s="11"/>
      <c r="C12" s="12"/>
      <c r="D12" s="13"/>
      <c r="E12" s="14"/>
      <c r="F12" s="12"/>
      <c r="G12" s="15"/>
      <c r="H12" s="11" t="str">
        <f t="shared" si="0"/>
        <v/>
      </c>
      <c r="I12" s="12" t="str">
        <f t="shared" si="1"/>
        <v/>
      </c>
      <c r="J12" s="13"/>
      <c r="K12" s="7"/>
      <c r="L12" s="6"/>
      <c r="M12" s="26"/>
      <c r="N12" s="27"/>
    </row>
    <row r="13" spans="1:14">
      <c r="A13" s="5" t="s">
        <v>4</v>
      </c>
      <c r="B13" s="11"/>
      <c r="C13" s="12"/>
      <c r="D13" s="13"/>
      <c r="E13" s="14"/>
      <c r="F13" s="12"/>
      <c r="G13" s="15"/>
      <c r="H13" s="11" t="str">
        <f t="shared" si="0"/>
        <v/>
      </c>
      <c r="I13" s="12" t="str">
        <f t="shared" si="1"/>
        <v/>
      </c>
      <c r="J13" s="13" t="str">
        <f>IF(AND(H13&gt;0,I13&lt;&gt;""),I13*100/H13,IF(AND(H13="",I13=""),"No Outage","0.00"))</f>
        <v>No Outage</v>
      </c>
      <c r="K13" s="7"/>
      <c r="L13" s="6"/>
      <c r="M13" s="26"/>
      <c r="N13" s="27"/>
    </row>
    <row r="14" spans="1:14" ht="12" customHeight="1">
      <c r="A14" s="5"/>
      <c r="B14" s="11"/>
      <c r="C14" s="12"/>
      <c r="D14" s="13"/>
      <c r="E14" s="14"/>
      <c r="F14" s="12"/>
      <c r="G14" s="15"/>
      <c r="H14" s="11" t="str">
        <f t="shared" si="0"/>
        <v/>
      </c>
      <c r="I14" s="12" t="str">
        <f t="shared" si="1"/>
        <v/>
      </c>
      <c r="J14" s="13"/>
      <c r="K14" s="7"/>
      <c r="L14" s="6"/>
      <c r="M14" s="26"/>
      <c r="N14" s="27"/>
    </row>
    <row r="15" spans="1:14">
      <c r="A15" s="5" t="s">
        <v>5</v>
      </c>
      <c r="B15" s="11"/>
      <c r="C15" s="12"/>
      <c r="D15" s="13"/>
      <c r="E15" s="14"/>
      <c r="F15" s="12"/>
      <c r="G15" s="15"/>
      <c r="H15" s="11" t="str">
        <f t="shared" si="0"/>
        <v/>
      </c>
      <c r="I15" s="12" t="str">
        <f t="shared" si="1"/>
        <v/>
      </c>
      <c r="J15" s="13" t="str">
        <f>IF(AND(H15&gt;0,I15&lt;&gt;""),I15*100/H15,IF(AND(H15="",I15=""),"No Outage","0.00"))</f>
        <v>No Outage</v>
      </c>
      <c r="K15" s="7"/>
      <c r="L15" s="6"/>
      <c r="M15" s="26"/>
      <c r="N15" s="27"/>
    </row>
    <row r="16" spans="1:14" ht="11.25" customHeight="1">
      <c r="A16" s="5"/>
      <c r="B16" s="11"/>
      <c r="C16" s="12"/>
      <c r="D16" s="13"/>
      <c r="E16" s="14"/>
      <c r="F16" s="12"/>
      <c r="G16" s="15"/>
      <c r="H16" s="11" t="str">
        <f t="shared" si="0"/>
        <v/>
      </c>
      <c r="I16" s="12" t="str">
        <f t="shared" si="1"/>
        <v/>
      </c>
      <c r="J16" s="13"/>
      <c r="K16" s="7"/>
      <c r="L16" s="6"/>
      <c r="M16" s="26"/>
      <c r="N16" s="27"/>
    </row>
    <row r="17" spans="1:14">
      <c r="A17" s="5" t="s">
        <v>6</v>
      </c>
      <c r="B17" s="11"/>
      <c r="C17" s="12"/>
      <c r="D17" s="13"/>
      <c r="E17" s="14"/>
      <c r="F17" s="12"/>
      <c r="G17" s="15"/>
      <c r="H17" s="11" t="str">
        <f t="shared" si="0"/>
        <v/>
      </c>
      <c r="I17" s="12" t="str">
        <f t="shared" si="1"/>
        <v/>
      </c>
      <c r="J17" s="13" t="str">
        <f>IF(AND(H17&gt;0,I17&lt;&gt;""),I17*100/H17,IF(AND(H17="",I17=""),"No Outage","0.00"))</f>
        <v>No Outage</v>
      </c>
      <c r="K17" s="7"/>
      <c r="L17" s="6"/>
      <c r="M17" s="26"/>
      <c r="N17" s="27"/>
    </row>
    <row r="18" spans="1:14" ht="9.75" customHeight="1">
      <c r="A18" s="5"/>
      <c r="B18" s="11"/>
      <c r="C18" s="12"/>
      <c r="D18" s="13"/>
      <c r="E18" s="14"/>
      <c r="F18" s="12"/>
      <c r="G18" s="15"/>
      <c r="H18" s="11" t="str">
        <f t="shared" si="0"/>
        <v/>
      </c>
      <c r="I18" s="12" t="str">
        <f t="shared" si="1"/>
        <v/>
      </c>
      <c r="J18" s="13"/>
      <c r="K18" s="7"/>
      <c r="L18" s="6"/>
      <c r="M18" s="26"/>
      <c r="N18" s="27"/>
    </row>
    <row r="19" spans="1:14">
      <c r="A19" s="5" t="s">
        <v>7</v>
      </c>
      <c r="B19" s="11"/>
      <c r="C19" s="12"/>
      <c r="D19" s="13"/>
      <c r="E19" s="14"/>
      <c r="F19" s="12"/>
      <c r="G19" s="15"/>
      <c r="H19" s="11" t="str">
        <f t="shared" si="0"/>
        <v/>
      </c>
      <c r="I19" s="12" t="str">
        <f t="shared" si="1"/>
        <v/>
      </c>
      <c r="J19" s="13" t="str">
        <f>IF(AND(H19&gt;0,I19&lt;&gt;""),I19*100/H19,IF(AND(H19="",I19=""),"No Outage","0.00"))</f>
        <v>No Outage</v>
      </c>
      <c r="K19" s="7"/>
      <c r="L19" s="6"/>
      <c r="M19" s="26"/>
      <c r="N19" s="27"/>
    </row>
    <row r="20" spans="1:14" ht="9" customHeight="1">
      <c r="A20" s="5"/>
      <c r="B20" s="11"/>
      <c r="C20" s="12"/>
      <c r="D20" s="13"/>
      <c r="E20" s="14"/>
      <c r="F20" s="12"/>
      <c r="G20" s="15"/>
      <c r="H20" s="11" t="str">
        <f t="shared" si="0"/>
        <v/>
      </c>
      <c r="I20" s="12" t="str">
        <f t="shared" si="1"/>
        <v/>
      </c>
      <c r="J20" s="13"/>
      <c r="K20" s="7"/>
      <c r="L20" s="6"/>
      <c r="M20" s="26"/>
      <c r="N20" s="27"/>
    </row>
    <row r="21" spans="1:14">
      <c r="A21" s="8" t="s">
        <v>24</v>
      </c>
      <c r="B21" s="16">
        <f>SUM(B5:B20)</f>
        <v>0</v>
      </c>
      <c r="C21" s="17">
        <f>SUM(C5:C20)</f>
        <v>0</v>
      </c>
      <c r="D21" s="18" t="str">
        <f t="shared" ref="D7:D21" si="4">IF(B21&gt;0,C21*100/B21,"")</f>
        <v/>
      </c>
      <c r="E21" s="19">
        <f>SUM(E5:E20)</f>
        <v>0</v>
      </c>
      <c r="F21" s="17">
        <f>SUM(F5:F20)</f>
        <v>0</v>
      </c>
      <c r="G21" s="20" t="str">
        <f t="shared" ref="G7:G21" si="5">IF(E21&gt;0,F21*100/E21,"")</f>
        <v/>
      </c>
      <c r="H21" s="21" t="str">
        <f t="shared" si="0"/>
        <v/>
      </c>
      <c r="I21" s="28" t="str">
        <f t="shared" si="1"/>
        <v/>
      </c>
      <c r="J21" s="29" t="str">
        <f>IF(AND(H21&gt;0,I21&lt;&gt;""),I21*100/H21,IF(AND(H21="",I21=""),"No Outage","0.00"))</f>
        <v>No Outage</v>
      </c>
      <c r="K21" s="9">
        <f>SUM(K5:K20)</f>
        <v>0</v>
      </c>
      <c r="L21" s="30">
        <f t="shared" ref="L21:N21" si="6">SUM(L5:L20)</f>
        <v>0</v>
      </c>
      <c r="M21" s="31">
        <f t="shared" si="6"/>
        <v>0</v>
      </c>
      <c r="N21" s="32">
        <f t="shared" si="6"/>
        <v>0</v>
      </c>
    </row>
  </sheetData>
  <mergeCells count="8">
    <mergeCell ref="A1:N1"/>
    <mergeCell ref="A2:N2"/>
    <mergeCell ref="B3:D3"/>
    <mergeCell ref="E3:G3"/>
    <mergeCell ref="H3:J3"/>
    <mergeCell ref="K3:L3"/>
    <mergeCell ref="M3:N3"/>
    <mergeCell ref="A3:A4"/>
  </mergeCells>
  <conditionalFormatting sqref="K5:L20">
    <cfRule type="cellIs" dxfId="1" priority="2" operator="greaterThan">
      <formula>0</formula>
    </cfRule>
  </conditionalFormatting>
  <conditionalFormatting sqref="M5:N20">
    <cfRule type="cellIs" dxfId="0" priority="1" operator="greaterThan">
      <formula>0</formula>
    </cfRule>
  </conditionalFormatting>
  <printOptions horizontalCentered="1"/>
  <pageMargins left="0.31496062992126" right="0.31496062992126" top="0.35433070866141703" bottom="0.35433070866141703" header="0.31496062992126" footer="0.31496062992126"/>
  <pageSetup paperSize="9" scale="96" fitToHeight="1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Abstract-Availed Vs Not Availed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Kesavan</dc:creator>
  <cp:lastModifiedBy>M Dileep Kumar</cp:lastModifiedBy>
  <dcterms:created xsi:type="dcterms:W3CDTF">2006-09-16T00:00:00Z</dcterms:created>
  <dcterms:modified xsi:type="dcterms:W3CDTF">2023-09-19T09:25:02Z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0BEE8ECC26C94C6387E29F7EB0D3FFCC</vt:lpwstr>
  </property>
  <property fmtid="{D5CDD505-2E9C-101B-9397-08002B2CF9AE}" pid="3" name="KSOProductBuildVer">
    <vt:lpwstr>1033-11.2.0.11417</vt:lpwstr>
  </property>
</Properties>
</file>