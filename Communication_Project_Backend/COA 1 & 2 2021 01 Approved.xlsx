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nks - COA 1" sheetId="1" r:id="rId1"/>
    <sheet name="Equipment - COA 2" sheetId="4" r:id="rId2"/>
  </sheets>
  <definedNames>
    <definedName name="_xlnm.Print_Area" localSheetId="0">'Links - COA 1'!$A$1:$M$71</definedName>
  </definedNames>
  <calcPr calcId="124519"/>
</workbook>
</file>

<file path=xl/calcChain.xml><?xml version="1.0" encoding="utf-8"?>
<calcChain xmlns="http://schemas.openxmlformats.org/spreadsheetml/2006/main">
  <c r="K12" i="4"/>
  <c r="K11"/>
  <c r="K61" i="1"/>
  <c r="K60"/>
  <c r="K11"/>
  <c r="K12"/>
  <c r="K25" i="4" l="1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24"/>
  <c r="K23"/>
  <c r="K56" i="1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77" i="4" l="1"/>
  <c r="K73"/>
  <c r="K63" i="1"/>
  <c r="K62"/>
  <c r="K85" i="4"/>
  <c r="K86" l="1"/>
  <c r="K68" i="1"/>
  <c r="K67"/>
  <c r="K20" i="4" l="1"/>
  <c r="K19"/>
  <c r="K28" i="1"/>
  <c r="K27"/>
  <c r="K16" i="4" l="1"/>
  <c r="K15"/>
  <c r="K23" i="1"/>
  <c r="K22"/>
  <c r="K21"/>
  <c r="K20"/>
  <c r="K19"/>
  <c r="K18"/>
  <c r="K17"/>
  <c r="B17"/>
  <c r="B18" s="1"/>
  <c r="B19" s="1"/>
  <c r="B20" s="1"/>
  <c r="B21" s="1"/>
  <c r="B22" s="1"/>
  <c r="B23" s="1"/>
  <c r="K16"/>
  <c r="K15"/>
  <c r="A16"/>
  <c r="M5" i="4" l="1"/>
  <c r="M4"/>
  <c r="A3"/>
  <c r="K8"/>
</calcChain>
</file>

<file path=xl/sharedStrings.xml><?xml version="1.0" encoding="utf-8"?>
<sst xmlns="http://schemas.openxmlformats.org/spreadsheetml/2006/main" count="935" uniqueCount="275">
  <si>
    <t xml:space="preserve">Communication VC Date : </t>
  </si>
  <si>
    <t>SL</t>
  </si>
  <si>
    <t>Name of Requesting Agency</t>
  </si>
  <si>
    <t>Source</t>
  </si>
  <si>
    <t>Destination</t>
  </si>
  <si>
    <t>Outage proposed from</t>
  </si>
  <si>
    <t>Outage proposed upto</t>
  </si>
  <si>
    <t>RPC Remarks</t>
  </si>
  <si>
    <t>Approved ?  (Y/N)</t>
  </si>
  <si>
    <t>Total hours of outage proposed now</t>
  </si>
  <si>
    <t>A</t>
  </si>
  <si>
    <t>B</t>
  </si>
  <si>
    <t>Location of the Equipment / Name of Station</t>
  </si>
  <si>
    <t>Details of Communication Equipment, proposed :</t>
  </si>
  <si>
    <t xml:space="preserve">Channel Routing/Alternate channel status </t>
  </si>
  <si>
    <t xml:space="preserve">Ownership/Cordinating agencies </t>
  </si>
  <si>
    <t>Reason for availing outage 
&amp;
Precautions / actions being taken to ensure communication system availability</t>
  </si>
  <si>
    <t>Reason for availing outage and precautions / actions being taken to ensure communication system availability</t>
  </si>
  <si>
    <t>Name of the Channel / Path / directions, affected</t>
  </si>
  <si>
    <t>Annexure - COA2</t>
  </si>
  <si>
    <t>Annexure -COA1</t>
  </si>
  <si>
    <t>Details of Communication Links (Point to Point), proposed :</t>
  </si>
  <si>
    <t>Description of Link</t>
  </si>
  <si>
    <t>Dated :</t>
  </si>
  <si>
    <t xml:space="preserve">Name of the communication equipment
</t>
  </si>
  <si>
    <t>Alternate Channel / Path available 
(Furnish details)</t>
  </si>
  <si>
    <t>PGCIL SR 1</t>
  </si>
  <si>
    <t>NIL</t>
  </si>
  <si>
    <t>PGCIL SR 2</t>
  </si>
  <si>
    <t>APTRANSCO</t>
  </si>
  <si>
    <t>KPTCL</t>
  </si>
  <si>
    <t>KSEBL</t>
  </si>
  <si>
    <t>TANTRANSCO</t>
  </si>
  <si>
    <t>TSTRANSCO</t>
  </si>
  <si>
    <t>ABB NSD 70
(64 kbps)</t>
  </si>
  <si>
    <t>Pallom</t>
  </si>
  <si>
    <t>Kolar</t>
  </si>
  <si>
    <t>KSEBL /
PGCIL</t>
  </si>
  <si>
    <t>Alcatel IP Exchange 
Channel (E1)</t>
  </si>
  <si>
    <t>Kalamassery</t>
  </si>
  <si>
    <t>Thiruvananthapuram</t>
  </si>
  <si>
    <t>Video Conference</t>
  </si>
  <si>
    <t>ICCP Main
Ethernet</t>
  </si>
  <si>
    <t>ICCP Backup
Ethernet</t>
  </si>
  <si>
    <t>Bangalore</t>
  </si>
  <si>
    <t>Edamon</t>
  </si>
  <si>
    <t>Kundara</t>
  </si>
  <si>
    <t>PED</t>
  </si>
  <si>
    <t>Edappon</t>
  </si>
  <si>
    <t xml:space="preserve">Kanhirode </t>
  </si>
  <si>
    <t>Routine maintenance, DC supply Available from Battery.DC source 2 is available -no interruption</t>
  </si>
  <si>
    <t>Shornur</t>
  </si>
  <si>
    <t>Neyveli</t>
  </si>
  <si>
    <t>List of outages of Communication Links, approved to avail during the month of</t>
  </si>
  <si>
    <t>List of outages of Communication Equipment, approved to avail during the month of</t>
  </si>
  <si>
    <t>Neyveli-Echangadu(F.O)</t>
  </si>
  <si>
    <t>Echangadu</t>
  </si>
  <si>
    <t>Poiyur-Through PLCC/ In service</t>
  </si>
  <si>
    <t>TNEB/M/s Sterlite</t>
  </si>
  <si>
    <t>No</t>
  </si>
  <si>
    <t>Towards Kolar</t>
  </si>
  <si>
    <t>Routine maintenance, DCsupply available from Battery.  DC source 1 is available -no interruption</t>
  </si>
  <si>
    <t>Pothencode</t>
  </si>
  <si>
    <t>Madakkathara</t>
  </si>
  <si>
    <t>Chalakudy</t>
  </si>
  <si>
    <t>Ambalamughal</t>
  </si>
  <si>
    <t>Brahmapuram</t>
  </si>
  <si>
    <t xml:space="preserve"> Routine maintenance, DC supply will be  Available from Battery.DC source 2  -no interruption</t>
  </si>
  <si>
    <t xml:space="preserve"> Routine maintenance, DC supply will be  Available from Battery.DC source 1  -no interruption</t>
  </si>
  <si>
    <t>HVDC-II signal for tripping Kalyandurg feeder at 220KV Anantapur</t>
  </si>
  <si>
    <t>Kolar PGCIL, Karnataka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</si>
  <si>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</si>
  <si>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</si>
  <si>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</si>
  <si>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 xml:space="preserve">Shifting of Tejas SDH equipment (APTRANSCO COD4 Sr.No.102) and Valiant PDH equipment  /MUX (APTRANSCO COD4 Sr.No.103) to new Communication room 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</si>
  <si>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</si>
  <si>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</si>
  <si>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 HVDC-I signal for tripping 132KV Vempalli , 132KV Pulivendula  &amp; 132KV Proddatur - 1 &amp; II at 220KVSS Yerraguntla.                                          </t>
  </si>
  <si>
    <t>220KV SS Yerraguntla</t>
  </si>
  <si>
    <t>Kolar PGCIL - Somanahalli PGCIL-BidadiPGCIL - Nelamangala KPTCL- Hirayur PGCIL- Pavagada PGCIL- Gooty PGCIL - Gooty Sw.St 220KV-C.K.Palli 220KVSS-RTPP 220KVSS- Yerraguntla 220KVSS</t>
  </si>
  <si>
    <r>
      <t xml:space="preserve">Shifting of Tejas SDH equipment (APTRANSCO COD4 Sr.No.102) and Valiant PDH equipment  /MUX (APTRANSCO COD4 Sr.No.103) to new Communication room.                  </t>
    </r>
    <r>
      <rPr>
        <sz val="11"/>
        <color rgb="FFFF0000"/>
        <rFont val="Calibri"/>
        <family val="2"/>
        <scheme val="minor"/>
      </rPr>
      <t>Gooty to Chinakampalli alternate path shall be provided through Gooty - SYPalli-Narnoor-Satthenapalli-Podili-Nellore-Renigunta-Chinakampalli</t>
    </r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</si>
  <si>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</si>
  <si>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</si>
  <si>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r>
      <t xml:space="preserve">Shifting of Tejas SDH equipment (APTRANSCO COD4 Sr.No.102) and Valiant PDH equipment  /MUX (APTRANSCO COD4 Sr.No.103) to new Communication room.                  </t>
    </r>
    <r>
      <rPr>
        <sz val="11"/>
        <color rgb="FFFF0000"/>
        <rFont val="Calibri"/>
        <family val="2"/>
        <scheme val="minor"/>
      </rPr>
      <t>Gooty to Chinakampalli alternate path shall be  provided through Gooty - SYPalli-Narnoor-Satthenapalli-Podili-Nellore-Renigunta-Chinakampalli</t>
    </r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</si>
  <si>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</si>
  <si>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</si>
  <si>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</si>
  <si>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</si>
  <si>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</si>
  <si>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</si>
  <si>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</si>
  <si>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</si>
  <si>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</si>
  <si>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</si>
  <si>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</si>
  <si>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</si>
  <si>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</si>
  <si>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</si>
  <si>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</si>
  <si>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SDH , (Tejas , TJ1400)</t>
  </si>
  <si>
    <t xml:space="preserve">ANANTAPUR </t>
  </si>
  <si>
    <t>Gooty-Chinakampalli</t>
  </si>
  <si>
    <t>Gooty to Chinakampalli alternate path provided through Gooty - SYPalli-Narnoor-Satthenapalli-Podili-Nellore-Renigunta-Chinakampalli</t>
  </si>
  <si>
    <t xml:space="preserve">APTransco </t>
  </si>
  <si>
    <r>
      <t xml:space="preserve">Shifting of Tejas SDH equipment (APTRANSCO COD4 Sr.No.102)  to new Communication room.                  </t>
    </r>
    <r>
      <rPr>
        <sz val="11"/>
        <color rgb="FFFF0000"/>
        <rFont val="Calibri"/>
        <family val="2"/>
        <scheme val="minor"/>
      </rPr>
      <t>Gooty to Chinakampalli alternate path shall be provided through Gooty - SYPalli-Narnoor-Satthenapalli-Podili-Nellore-Renigunta-Chinakampalli</t>
    </r>
  </si>
  <si>
    <t>PDH, (Valiant, VCL-MX)</t>
  </si>
  <si>
    <t>Gooty-Anantapur</t>
  </si>
  <si>
    <t xml:space="preserve">Shifting of and Valiant PDH equipment  /MUX (APTRANSCO COD4 Sr.No.103) to new PLCC room </t>
  </si>
  <si>
    <t>(Sl.No: 57 from the Database)</t>
  </si>
  <si>
    <t>(Sl.No: 58  from the Database)</t>
  </si>
  <si>
    <t>(Sl.No: 53  from the Database)</t>
  </si>
  <si>
    <t>(Sl.No: 54  from the Database)</t>
  </si>
  <si>
    <t>(Sl.No: 55  from the Database)</t>
  </si>
  <si>
    <t>(Sl.No: 56  from the Database)</t>
  </si>
  <si>
    <t>(Sl.No: 62  from the Database)</t>
  </si>
  <si>
    <t>(Sl.No: 63  from the Database)</t>
  </si>
  <si>
    <t>(Sl.No: 64  from the Database)</t>
  </si>
  <si>
    <t>(Sl.No:102 from Database)</t>
  </si>
  <si>
    <t>(Sl.No:103  from Database)</t>
  </si>
  <si>
    <t>VSAT communication link</t>
  </si>
  <si>
    <t>SCADA HUB</t>
  </si>
  <si>
    <t xml:space="preserve">All the station SCADA data </t>
  </si>
  <si>
    <t>Alternate channel being testing</t>
  </si>
  <si>
    <t>VSAT &amp; HUB maintainance and switchover from MCC to BCC</t>
  </si>
  <si>
    <t>VSAT</t>
  </si>
  <si>
    <t>(Sl.No:55 from DataBase)</t>
  </si>
  <si>
    <t>PED, Puducherry</t>
  </si>
  <si>
    <t xml:space="preserve">Data/Voice, PLCC - OFC </t>
  </si>
  <si>
    <t>Thirubuvanai</t>
  </si>
  <si>
    <t>Pondy SCC</t>
  </si>
  <si>
    <t>Thirubuvanai – Villianur 230 – Pondy SCC</t>
  </si>
  <si>
    <t>Preventive Maintenance. 110KV Thirubuvanai power flow data would be available from Villianur 230KV RTU</t>
  </si>
  <si>
    <t>(Sl.No:3 from Database)</t>
  </si>
  <si>
    <t>Data/Voice, PLCC - PLCC - OFC</t>
  </si>
  <si>
    <t>Eripakkam</t>
  </si>
  <si>
    <t>Eripakkam – Thirubuvanai – Villianur 230 – Pondy SCC</t>
  </si>
  <si>
    <t>Preventive Maintenance. 110KV Eripakkam power flow data would be available from Villianur 230KV RTU</t>
  </si>
  <si>
    <t>(Sl.No:2 from Database)</t>
  </si>
  <si>
    <t xml:space="preserve">PLCC, Make : ABB, Model : ETL-41, </t>
  </si>
  <si>
    <t>--</t>
  </si>
  <si>
    <t>(Sl.No:4  from Database)</t>
  </si>
  <si>
    <t>Preventive Maintenance. 110KV Eripakkam voice would be available from Villianur 230KV,  Puducherry SCC</t>
  </si>
  <si>
    <t>(Sl.No:1  from Database)</t>
  </si>
  <si>
    <t>Nil</t>
  </si>
  <si>
    <t>Preventive 
Manintenance at Kalamassery SDH</t>
  </si>
  <si>
    <t>(Sl.No:1 from Database)</t>
  </si>
  <si>
    <t>ICCP Main Ring (Ethernet)</t>
  </si>
  <si>
    <t>ICCP Direct
(Ethernet)</t>
  </si>
  <si>
    <t>GE PMU (URTDSM)</t>
  </si>
  <si>
    <t>(Sl.No:9 from Database)</t>
  </si>
  <si>
    <t>VCL Protection Coupler (E1)</t>
  </si>
  <si>
    <t>Selam</t>
  </si>
  <si>
    <t>KSEBL/
PGCIL</t>
  </si>
  <si>
    <t>(Sl.No:11 from Database)</t>
  </si>
  <si>
    <t>(Sl.No:16 from Database)</t>
  </si>
  <si>
    <t>(Sl.No:17 from Database)</t>
  </si>
  <si>
    <t>(Sl.No:20  from Database)</t>
  </si>
  <si>
    <t>(Sl.No:21  from Database)</t>
  </si>
  <si>
    <t>Preventive 
Manintenance at Madakkathara SDH</t>
  </si>
  <si>
    <t>(Sl.No:13 from Database)</t>
  </si>
  <si>
    <t>(Sl.No:15 from Database)</t>
  </si>
  <si>
    <t>DIP 5000 (64kbps)</t>
  </si>
  <si>
    <t>(Sl.No:18 from Database)</t>
  </si>
  <si>
    <t>Kanhirode</t>
  </si>
  <si>
    <t>(Sl.No:19 from Database)</t>
  </si>
  <si>
    <t xml:space="preserve">Shifting of Communication room Chalakudy </t>
  </si>
  <si>
    <t>Orkkattery</t>
  </si>
  <si>
    <t>Routine maintenance, No interruption standby supply available</t>
  </si>
  <si>
    <t>Areacode</t>
  </si>
  <si>
    <t>Monthly maintenance-  No interruption</t>
  </si>
  <si>
    <t>Towards Brahmapuram &amp; Chalakudy</t>
  </si>
  <si>
    <t xml:space="preserve">Preventive Maintenance of SDH Equipment  at Kalamassery  </t>
  </si>
  <si>
    <t>Towards SLDC &amp; Backup SLDC</t>
  </si>
  <si>
    <t>Towards SRLDC Control centre</t>
  </si>
  <si>
    <t>PGCIL</t>
  </si>
  <si>
    <t>Towards Banglore &amp; Thiruvananthapuram</t>
  </si>
  <si>
    <t>Monthly maintanence. No interruption as stand by available</t>
  </si>
  <si>
    <t xml:space="preserve">Monthly maintenance- No interruption </t>
  </si>
  <si>
    <t>Towards Arekode, Chalakudy &amp; Shoranur</t>
  </si>
  <si>
    <t xml:space="preserve">Preventive Maintenance of SDH Equipment at Madakkathara    </t>
  </si>
  <si>
    <t>Chalakkudy</t>
  </si>
  <si>
    <t>Towards Madakkathara 
&amp; Kalamassery</t>
  </si>
  <si>
    <t>Shifting of equipments to new communication room</t>
  </si>
  <si>
    <t>E&amp;M Channel</t>
  </si>
  <si>
    <t>OPGW punctuted on 02.06.2020 due to line fault and under breakdown     &amp;  rectification expected by guarantor(M/s STERLITE)</t>
  </si>
  <si>
    <t>Pugalur-Kalivanthapattu(F.O)</t>
  </si>
  <si>
    <t>Pugalur</t>
  </si>
  <si>
    <t>Kalivanthapattu</t>
  </si>
  <si>
    <t>Rectification of Splice loss in splicing point  location No: 549  Diamond formation in coordination with PGCIL</t>
  </si>
  <si>
    <t>Protection (TK1 SPS signals (PLCC-Ingur230KV SS to Thingalore 230KV SS) may be affected during failure)            Sl.No 92 in TANTRANSCO list</t>
  </si>
  <si>
    <t>Thingalore 230KV SS</t>
  </si>
  <si>
    <t>Thingalore230-Ingur230-Erode-Salem230-Salem(PG) N/w    No alternate channel available</t>
  </si>
  <si>
    <t>Maintenance work</t>
  </si>
  <si>
    <t>(SL.No:92 from Database)</t>
  </si>
  <si>
    <t>Shoolagiri PGCIL-Vinnamangalam 230 kv feeder under LC to make it LILO at NEW Thirupathur 230 kv ss</t>
  </si>
  <si>
    <t>PLCC, ABB, ETL41, TK1 SPS protection trip to Thingalore 230KV SS</t>
  </si>
  <si>
    <t>Ingur 230 kV SS</t>
  </si>
  <si>
    <t>Thingalore 230 kV SS</t>
  </si>
  <si>
    <t>(SL.No:72 From Database)</t>
  </si>
  <si>
    <t>PLCC, ABB, ETL41, TK1 SPS protection trip</t>
  </si>
  <si>
    <t>(SL.No:174 From Database)</t>
  </si>
  <si>
    <t>PGCIL SR-II</t>
  </si>
  <si>
    <t>101 RTU data Tuticorin PS- Madhurai DCPC SRLDC</t>
  </si>
  <si>
    <t>Tuticorin PS</t>
  </si>
  <si>
    <t>Madhurai DCPC SRLDC</t>
  </si>
  <si>
    <t>NOT available</t>
  </si>
  <si>
    <t>Relocation of equipment at Tuticorin PS</t>
  </si>
  <si>
    <t>Shall be done as and when Kudankulam shutdown is available</t>
  </si>
  <si>
    <t>All SR2 &amp; SR1 Links</t>
  </si>
  <si>
    <t>Somanahalli PGCIL</t>
  </si>
  <si>
    <t>SRLDC</t>
  </si>
  <si>
    <t>All</t>
  </si>
  <si>
    <t>Shifting of SDH Equipments in Somanahalli PGCIL</t>
  </si>
  <si>
    <t>Shall be done upon completion of civil construction</t>
  </si>
  <si>
    <t>Tejas SDH
TJ1400 STM4</t>
  </si>
  <si>
    <t>From Madurai alternate path will be availabel</t>
  </si>
  <si>
    <t xml:space="preserve">  --</t>
  </si>
  <si>
    <t>Not Updated</t>
  </si>
  <si>
    <t>To be applied with specific dates</t>
  </si>
  <si>
    <t>N</t>
  </si>
  <si>
    <t>Tejas SDH
TJ1400 STM16
(Sl.No:7 from Database)</t>
  </si>
  <si>
    <t>Alternate channel being tested</t>
  </si>
  <si>
    <t>101 RTU data Tuticorin PS- Madurai DCPC SRLDC</t>
  </si>
  <si>
    <t xml:space="preserve">DC Charger I
(AMARA RAJA 48V/50A)
(Sl.No:103 from Database) </t>
  </si>
  <si>
    <t xml:space="preserve">DC Charger II
(IGATECH Charger 48V/50A )
(Sl.No:104 from Database) </t>
  </si>
  <si>
    <t xml:space="preserve">DC Charger II 
(Waves Charger  48V/100A)
(Sl.No:34 from Database) </t>
  </si>
  <si>
    <t xml:space="preserve">DC Charger I
(Waves 48V/50A)
(Sl.No:100 from Database) </t>
  </si>
  <si>
    <t xml:space="preserve">DC Charger II
(Waves 48V/100A)
(Sl.No:101 from Database) </t>
  </si>
  <si>
    <t xml:space="preserve">DC Charger I 
(ASCOM Charger 48V/40A)
(Sl.No:92 from Database) </t>
  </si>
  <si>
    <t>DC Charger III 
(Waves Charger 48V/40A)
(Sl.No:94 from Database)</t>
  </si>
  <si>
    <t>DC Charger I 
(Waves Charger 48V/100A)
(Sl.No:33 from Database)</t>
  </si>
  <si>
    <t>DC Charger I 
(Waves Charger 48V/100A)
(Sl.No:25 from Database)</t>
  </si>
  <si>
    <t>DC Charger II 
(Waves Charger 48V/40A)
(Sl.No:93 from Database)</t>
  </si>
  <si>
    <t>DC Charger I
(Waves Charger 48V/50A)
(Sl.No:116 from Database)</t>
  </si>
  <si>
    <t>DC Charger II
(IGATECH Charger 48V/50A )
(Sl.No:117 from Database)</t>
  </si>
  <si>
    <t>DC Charger I
(ASCOM Charger 48V/50A)
(Sl.No:111 from Database)</t>
  </si>
  <si>
    <t>DC Charger II
(ASCOM Charger 48V/50A)
(Sl.No:112 from Database)</t>
  </si>
  <si>
    <t>DC Charger I
(ASCOM 48V/54A)
(Sl.No:84 from Database)</t>
  </si>
  <si>
    <t>DC Charger II 
(Waves Charger 48V/100A )
(Sl.No:26 from Database)</t>
  </si>
  <si>
    <t>DC Charger II
(Waves 48V/60A)
(Sl.No:85 from Database)</t>
  </si>
  <si>
    <t>DC Charger I 
(Waves Charger  48V/100A)
(Sl.No:42 from Database)</t>
  </si>
  <si>
    <t>DC Charger II 
(Waves Charger  48V/100A)
(Sl.No:43 from Database)</t>
  </si>
  <si>
    <t>SDH TJ1400
(Sl.No:70 from Database)</t>
  </si>
  <si>
    <t>EPABX - BPL MDX 50
(Sl.No:73 from Database)</t>
  </si>
  <si>
    <t>GE PMU (URTDSM)
(Sl.No:71 from Database)</t>
  </si>
  <si>
    <t>Alcatel IP Exchange
(Sl.No:72 from Database)</t>
  </si>
  <si>
    <t>DC Charger I 
(Waves Charger 48V/100A)
(Sl.No:14 from Database)</t>
  </si>
  <si>
    <t>DC Charger II 
(Waves Charger 
(Sl.No:15 from Database)</t>
  </si>
  <si>
    <t>DC Charger I 
(IGATECH Charger 48V/50A)
(Sl.No:66 from Database)</t>
  </si>
  <si>
    <t>DC Charger II 
(AE Charger 48V/20A)
(Sl.No:67 from Database)</t>
  </si>
  <si>
    <t>EPABX - INTELLICON KAREL DS 200
(Sl.No:39 from Database)</t>
  </si>
  <si>
    <t>DC Charger I 
(DUBAS Charger 48V/40A)
(Sl.No:60 from Database)</t>
  </si>
  <si>
    <t>DC Charger II 
(DUBAS Charger 48V/40A)
(Sl.No:61 from Database)</t>
  </si>
  <si>
    <t>DC Charger I
(ASCOM Charger 48V/21A)
(Sl.No:5 from Database)</t>
  </si>
  <si>
    <t>SDH TJ1401
(Sl.No:86 from Database)</t>
  </si>
  <si>
    <t>VCL-MX PDH
(Sl.No:87 from Database)</t>
  </si>
  <si>
    <t>DIP 5000, (Sl.No:88 from Database)</t>
  </si>
  <si>
    <t>EPABX - BPL MDX 50
(Sl.No:89 from Database)</t>
  </si>
  <si>
    <t>DC Charger IV
(Waves Charger 48V/60A)
(Sl.No:77 from Database)</t>
  </si>
  <si>
    <t>DC Charger V
(Keltron Charger 66V/90A)
(Sl.No:78 from Database)</t>
  </si>
  <si>
    <t>SDH TJ1400
(Sl.No:79 from Database)</t>
  </si>
  <si>
    <t>EPABX - BPL MDX 50
(Sl.No:81 from Database)</t>
  </si>
  <si>
    <t>VCL Protection Coupler
(Sl.No:80 from Database)</t>
  </si>
  <si>
    <t>DC Charger II
(ASCOM Charger 48V/21A
(Sl.No:82 from Database)</t>
  </si>
  <si>
    <t>DC Charger III 
(ASCOM Charger 48V/25A)
(Sl.No:16 from Database)</t>
  </si>
  <si>
    <t>DC Charger I 
(ASCOM Charger 48V/31A)
(Sl.No:74 from Database)</t>
  </si>
  <si>
    <t>DC Charger II 
(ASCOM Charger 48V/31A)
(Sl.No:75 from Database)</t>
  </si>
  <si>
    <t>DC Charger III
(ELTEK Charger 48V/15A)
(Sl.No:76 from Database)</t>
  </si>
  <si>
    <t>KSEBL may coordinate with PGCIL to reroute the Links so that drwal computation will not be affected. Approved subject to ensuring the alternate path to SRLDC</t>
  </si>
  <si>
    <t>Y</t>
  </si>
  <si>
    <t>(Sl.No:4 from Database)
KSEBL may coordinate with PGCIL to reroute the Links so that drwal computation will not be affected. Approved subject to ensuring the alternate path to SRLDC</t>
  </si>
  <si>
    <t>(Sl.No:5 from Database)
KSEBL may coordinate with PGCIL to reroute the Links so that drwal computation will not be affected. Approved subject to ensuring the alternate path to SRLDC</t>
  </si>
  <si>
    <t>(Sl.No:7 from Database)
KSEBL may coordinate with PGCIL to reroute the Links so that drwal computation will not be affected. Approved subject to ensuring the alternate path to SRLDC</t>
  </si>
  <si>
    <t>(Sl.No:8 from Database)
KSEBL may coordinate with PGCIL to reroute the Links so that drwal computation will not be affected. Approved subject to ensuring the alternate path to SRLDC</t>
  </si>
  <si>
    <t>(Date is Tentative and subject to change depending on completion of work)
May be applied with complete details</t>
  </si>
</sst>
</file>

<file path=xl/styles.xml><?xml version="1.0" encoding="utf-8"?>
<styleSheet xmlns="http://schemas.openxmlformats.org/spreadsheetml/2006/main">
  <numFmts count="4">
    <numFmt numFmtId="164" formatCode="dd/mmm/yy\,\ hh:mm"/>
    <numFmt numFmtId="165" formatCode="dd/mmm/yyyy"/>
    <numFmt numFmtId="166" formatCode="mmmm/yyyy"/>
    <numFmt numFmtId="167" formatCode="dd/mmm/yy&quot;, &quot;hh:mm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1"/>
      <color theme="1"/>
      <name val="Times New Roman"/>
      <family val="1"/>
    </font>
    <font>
      <sz val="11"/>
      <color indexed="63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indexed="63"/>
      <name val="Calibri"/>
      <family val="2"/>
      <charset val="1"/>
    </font>
    <font>
      <b/>
      <sz val="10"/>
      <color indexed="63"/>
      <name val="Times New Roman"/>
      <family val="1"/>
      <charset val="1"/>
    </font>
    <font>
      <b/>
      <sz val="11"/>
      <color indexed="63"/>
      <name val="Calibri"/>
      <family val="2"/>
      <charset val="1"/>
    </font>
    <font>
      <b/>
      <sz val="12"/>
      <color indexed="63"/>
      <name val="Book Antiqua"/>
      <family val="1"/>
    </font>
    <font>
      <b/>
      <sz val="10"/>
      <color indexed="63"/>
      <name val="Book Antiqua"/>
      <family val="1"/>
    </font>
    <font>
      <sz val="11"/>
      <color indexed="63"/>
      <name val="Book Antiqua"/>
      <family val="1"/>
    </font>
    <font>
      <sz val="10"/>
      <name val="Book Antiqua"/>
      <family val="1"/>
    </font>
    <font>
      <sz val="10"/>
      <color indexed="63"/>
      <name val="Book Antiqua"/>
      <family val="1"/>
    </font>
    <font>
      <sz val="10"/>
      <color rgb="FF000000"/>
      <name val="Book Antiqua"/>
      <family val="1"/>
    </font>
    <font>
      <sz val="10"/>
      <color indexed="8"/>
      <name val="Book Antiqua"/>
      <family val="1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Calibri"/>
      <family val="2"/>
      <charset val="1"/>
    </font>
    <font>
      <b/>
      <sz val="10"/>
      <color rgb="FFFF0000"/>
      <name val="Times New Roman"/>
      <family val="1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sz val="10"/>
      <color rgb="FFFF0000"/>
      <name val="Book Antiqua"/>
      <family val="1"/>
    </font>
    <font>
      <b/>
      <sz val="10"/>
      <color rgb="FFFF0000"/>
      <name val="Book Antiqua"/>
      <family val="1"/>
    </font>
    <font>
      <b/>
      <sz val="11"/>
      <color indexed="63"/>
      <name val="Book Antiqua"/>
      <family val="1"/>
    </font>
    <font>
      <b/>
      <sz val="11"/>
      <color indexed="6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0" xfId="0" applyNumberFormat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/>
    <xf numFmtId="0" fontId="3" fillId="0" borderId="0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1" fontId="6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1" fillId="0" borderId="0" xfId="0" applyNumberFormat="1" applyFont="1" applyAlignment="1">
      <alignment horizontal="right" vertical="center"/>
    </xf>
    <xf numFmtId="0" fontId="9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horizontal="center" vertical="center"/>
    </xf>
    <xf numFmtId="167" fontId="10" fillId="0" borderId="0" xfId="0" applyNumberFormat="1" applyFont="1"/>
    <xf numFmtId="1" fontId="11" fillId="0" borderId="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Fill="1"/>
    <xf numFmtId="1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167" fontId="13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" fontId="0" fillId="0" borderId="3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 wrapText="1"/>
    </xf>
    <xf numFmtId="1" fontId="18" fillId="0" borderId="1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3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4" fontId="0" fillId="0" borderId="6" xfId="0" applyNumberFormat="1" applyFont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4" fontId="0" fillId="0" borderId="3" xfId="0" applyNumberForma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1" fontId="6" fillId="2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1" fontId="23" fillId="0" borderId="1" xfId="0" applyNumberFormat="1" applyFont="1" applyBorder="1" applyAlignment="1">
      <alignment horizontal="left" vertical="center"/>
    </xf>
    <xf numFmtId="1" fontId="13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vertical="center" wrapText="1"/>
    </xf>
    <xf numFmtId="164" fontId="0" fillId="0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 vertical="center" wrapText="1"/>
    </xf>
    <xf numFmtId="20" fontId="27" fillId="0" borderId="1" xfId="0" applyNumberFormat="1" applyFont="1" applyFill="1" applyBorder="1" applyAlignment="1">
      <alignment horizontal="center" vertical="center"/>
    </xf>
    <xf numFmtId="20" fontId="1" fillId="0" borderId="3" xfId="0" applyNumberFormat="1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left" vertical="center"/>
    </xf>
    <xf numFmtId="1" fontId="29" fillId="0" borderId="1" xfId="0" applyNumberFormat="1" applyFont="1" applyBorder="1" applyAlignment="1">
      <alignment horizontal="left" vertical="center" wrapText="1"/>
    </xf>
    <xf numFmtId="1" fontId="30" fillId="0" borderId="1" xfId="0" applyNumberFormat="1" applyFont="1" applyBorder="1" applyAlignment="1">
      <alignment horizontal="left" vertical="center"/>
    </xf>
    <xf numFmtId="1" fontId="30" fillId="0" borderId="1" xfId="0" applyNumberFormat="1" applyFont="1" applyFill="1" applyBorder="1" applyAlignment="1">
      <alignment horizontal="left" vertical="center"/>
    </xf>
    <xf numFmtId="1" fontId="30" fillId="0" borderId="1" xfId="0" applyNumberFormat="1" applyFont="1" applyBorder="1" applyAlignment="1">
      <alignment horizontal="left" vertical="center" wrapText="1"/>
    </xf>
    <xf numFmtId="167" fontId="30" fillId="0" borderId="1" xfId="0" applyNumberFormat="1" applyFont="1" applyBorder="1" applyAlignment="1">
      <alignment horizontal="center" vertical="center" wrapText="1"/>
    </xf>
    <xf numFmtId="20" fontId="31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center"/>
    </xf>
    <xf numFmtId="0" fontId="32" fillId="5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 wrapText="1"/>
    </xf>
    <xf numFmtId="1" fontId="0" fillId="0" borderId="4" xfId="0" applyNumberFormat="1" applyFont="1" applyBorder="1" applyAlignment="1">
      <alignment horizontal="center" vertical="center" wrapText="1"/>
    </xf>
    <xf numFmtId="1" fontId="0" fillId="0" borderId="5" xfId="0" applyNumberFormat="1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 wrapText="1"/>
    </xf>
    <xf numFmtId="164" fontId="0" fillId="0" borderId="7" xfId="0" applyNumberFormat="1" applyFont="1" applyBorder="1" applyAlignment="1">
      <alignment horizontal="center" vertical="center" wrapText="1"/>
    </xf>
    <xf numFmtId="164" fontId="0" fillId="0" borderId="6" xfId="0" applyNumberFormat="1" applyFont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66" fontId="4" fillId="2" borderId="0" xfId="0" quotePrefix="1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20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830036</xdr:colOff>
      <xdr:row>13</xdr:row>
      <xdr:rowOff>68035</xdr:rowOff>
    </xdr:from>
    <xdr:to>
      <xdr:col>12</xdr:col>
      <xdr:colOff>2109107</xdr:colOff>
      <xdr:row>22</xdr:row>
      <xdr:rowOff>0</xdr:rowOff>
    </xdr:to>
    <xdr:sp macro="" textlink="">
      <xdr:nvSpPr>
        <xdr:cNvPr id="2" name="TextBox 1"/>
        <xdr:cNvSpPr txBox="1"/>
      </xdr:nvSpPr>
      <xdr:spPr>
        <a:xfrm>
          <a:off x="1129393" y="3741964"/>
          <a:ext cx="15008678" cy="2109107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chemeClr val="bg1">
              <a:lumMod val="85000"/>
              <a:alpha val="2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IN" sz="12000">
              <a:solidFill>
                <a:schemeClr val="dk1">
                  <a:alpha val="10000"/>
                </a:schemeClr>
              </a:solidFill>
              <a:effectLst>
                <a:outerShdw blurRad="50800" dist="50800" dir="5400000" algn="ctr" rotWithShape="0">
                  <a:schemeClr val="bg1">
                    <a:lumMod val="85000"/>
                    <a:alpha val="20000"/>
                  </a:schemeClr>
                </a:outerShdw>
              </a:effectLst>
              <a:latin typeface="Arial Rounded MT Bold" pitchFamily="34" charset="0"/>
            </a:rPr>
            <a:t>Format COA 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view="pageBreakPreview" topLeftCell="C1" zoomScale="75" zoomScaleNormal="68" zoomScaleSheetLayoutView="75" workbookViewId="0">
      <pane ySplit="7" topLeftCell="A8" activePane="bottomLeft" state="frozen"/>
      <selection pane="bottomLeft" activeCell="M4" sqref="M4"/>
    </sheetView>
  </sheetViews>
  <sheetFormatPr defaultRowHeight="15"/>
  <cols>
    <col min="1" max="1" width="4.42578125" style="4" customWidth="1"/>
    <col min="2" max="2" width="18.85546875" style="1" customWidth="1"/>
    <col min="3" max="3" width="24.7109375" style="1" customWidth="1"/>
    <col min="4" max="4" width="24.28515625" style="1" customWidth="1"/>
    <col min="5" max="5" width="22.28515625" style="1" customWidth="1"/>
    <col min="6" max="6" width="19.28515625" style="35" customWidth="1"/>
    <col min="7" max="7" width="17.42578125" style="33" customWidth="1"/>
    <col min="8" max="8" width="28" style="35" customWidth="1"/>
    <col min="9" max="9" width="23.42578125" style="5" customWidth="1"/>
    <col min="10" max="10" width="24.85546875" style="5" customWidth="1"/>
    <col min="11" max="11" width="16.42578125" style="31" customWidth="1"/>
    <col min="12" max="12" width="6.5703125" style="6" customWidth="1"/>
    <col min="13" max="13" width="36.85546875" style="1" customWidth="1"/>
    <col min="16" max="16" width="9.42578125" bestFit="1" customWidth="1"/>
  </cols>
  <sheetData>
    <row r="1" spans="1:17" ht="24" customHeight="1">
      <c r="A1" s="144" t="s">
        <v>20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7" ht="26.25">
      <c r="A2" s="170" t="s">
        <v>53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0"/>
      <c r="O2" s="10"/>
    </row>
    <row r="3" spans="1:17" ht="26.25">
      <c r="A3" s="171">
        <v>44197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1"/>
      <c r="O3" s="11"/>
    </row>
    <row r="4" spans="1:17">
      <c r="J4" s="7"/>
      <c r="L4" s="31" t="s">
        <v>23</v>
      </c>
      <c r="M4" s="9">
        <v>44194</v>
      </c>
      <c r="N4" s="10"/>
      <c r="O4" s="10"/>
    </row>
    <row r="5" spans="1:17" ht="18" customHeight="1">
      <c r="A5" s="8" t="s">
        <v>10</v>
      </c>
      <c r="B5" s="18" t="s">
        <v>21</v>
      </c>
      <c r="L5" s="196" t="s">
        <v>0</v>
      </c>
      <c r="M5" s="9">
        <v>44194</v>
      </c>
      <c r="N5" s="10"/>
      <c r="O5" s="10"/>
    </row>
    <row r="6" spans="1:17" s="2" customFormat="1" ht="135" customHeight="1">
      <c r="A6" s="19" t="s">
        <v>1</v>
      </c>
      <c r="B6" s="20" t="s">
        <v>2</v>
      </c>
      <c r="C6" s="21" t="s">
        <v>22</v>
      </c>
      <c r="D6" s="20" t="s">
        <v>3</v>
      </c>
      <c r="E6" s="20" t="s">
        <v>4</v>
      </c>
      <c r="F6" s="20" t="s">
        <v>14</v>
      </c>
      <c r="G6" s="21" t="s">
        <v>15</v>
      </c>
      <c r="H6" s="22" t="s">
        <v>16</v>
      </c>
      <c r="I6" s="23" t="s">
        <v>5</v>
      </c>
      <c r="J6" s="23" t="s">
        <v>6</v>
      </c>
      <c r="K6" s="24" t="s">
        <v>9</v>
      </c>
      <c r="L6" s="25" t="s">
        <v>8</v>
      </c>
      <c r="M6" s="21" t="s">
        <v>7</v>
      </c>
      <c r="N6" s="12"/>
      <c r="O6" s="12"/>
      <c r="P6" s="3"/>
      <c r="Q6" s="3"/>
    </row>
    <row r="7" spans="1:17" ht="17.25" customHeight="1">
      <c r="A7" s="26">
        <v>1</v>
      </c>
      <c r="B7" s="26">
        <v>2</v>
      </c>
      <c r="C7" s="27">
        <v>3</v>
      </c>
      <c r="D7" s="28">
        <v>4</v>
      </c>
      <c r="E7" s="28">
        <v>5</v>
      </c>
      <c r="F7" s="34">
        <v>6</v>
      </c>
      <c r="G7" s="34">
        <v>7</v>
      </c>
      <c r="H7" s="34">
        <v>8</v>
      </c>
      <c r="I7" s="28">
        <v>9</v>
      </c>
      <c r="J7" s="28">
        <v>10</v>
      </c>
      <c r="K7" s="28">
        <v>11</v>
      </c>
      <c r="L7" s="28">
        <v>12</v>
      </c>
      <c r="M7" s="28">
        <v>13</v>
      </c>
    </row>
    <row r="8" spans="1:17" ht="23.25">
      <c r="A8" s="13"/>
      <c r="B8" s="37" t="s">
        <v>26</v>
      </c>
      <c r="C8" s="38" t="s">
        <v>27</v>
      </c>
      <c r="D8" s="38"/>
      <c r="E8" s="38"/>
      <c r="F8" s="39"/>
      <c r="G8" s="40"/>
      <c r="H8" s="39"/>
      <c r="I8" s="41"/>
      <c r="J8" s="41"/>
      <c r="K8" s="42"/>
      <c r="L8" s="43"/>
      <c r="M8" s="38"/>
    </row>
    <row r="9" spans="1:17">
      <c r="A9" s="13"/>
      <c r="B9" s="44"/>
      <c r="C9" s="38"/>
      <c r="D9" s="38"/>
      <c r="E9" s="38"/>
      <c r="F9" s="39"/>
      <c r="G9" s="40"/>
      <c r="H9" s="39"/>
      <c r="I9" s="41"/>
      <c r="J9" s="41"/>
      <c r="K9" s="42"/>
      <c r="L9" s="43"/>
      <c r="M9" s="38"/>
    </row>
    <row r="10" spans="1:17" ht="23.25">
      <c r="A10" s="13"/>
      <c r="B10" s="37" t="s">
        <v>28</v>
      </c>
      <c r="C10" s="38"/>
      <c r="D10" s="38"/>
      <c r="E10" s="38"/>
      <c r="F10" s="39"/>
      <c r="G10" s="40"/>
      <c r="H10" s="39"/>
      <c r="I10" s="41"/>
      <c r="J10" s="41"/>
      <c r="K10" s="42"/>
      <c r="L10" s="43"/>
      <c r="M10" s="86"/>
    </row>
    <row r="11" spans="1:17" ht="43.5" customHeight="1">
      <c r="A11" s="95">
        <v>1</v>
      </c>
      <c r="B11" s="96" t="s">
        <v>201</v>
      </c>
      <c r="C11" s="96" t="s">
        <v>202</v>
      </c>
      <c r="D11" s="97" t="s">
        <v>203</v>
      </c>
      <c r="E11" s="96" t="s">
        <v>204</v>
      </c>
      <c r="F11" s="98" t="s">
        <v>205</v>
      </c>
      <c r="G11" s="96" t="s">
        <v>174</v>
      </c>
      <c r="H11" s="96" t="s">
        <v>206</v>
      </c>
      <c r="I11" s="166" t="s">
        <v>207</v>
      </c>
      <c r="J11" s="167"/>
      <c r="K11" s="42" t="e">
        <f t="shared" ref="K11" si="0">TEXT(J11-I11,"[hh]:mm")</f>
        <v>#VALUE!</v>
      </c>
      <c r="L11" s="43" t="s">
        <v>219</v>
      </c>
      <c r="M11" s="40" t="s">
        <v>218</v>
      </c>
    </row>
    <row r="12" spans="1:17" ht="31.5">
      <c r="A12" s="95">
        <v>2</v>
      </c>
      <c r="B12" s="99" t="s">
        <v>201</v>
      </c>
      <c r="C12" s="100" t="s">
        <v>208</v>
      </c>
      <c r="D12" s="100" t="s">
        <v>209</v>
      </c>
      <c r="E12" s="99" t="s">
        <v>210</v>
      </c>
      <c r="F12" s="100" t="s">
        <v>211</v>
      </c>
      <c r="G12" s="96" t="s">
        <v>174</v>
      </c>
      <c r="H12" s="100" t="s">
        <v>212</v>
      </c>
      <c r="I12" s="168" t="s">
        <v>213</v>
      </c>
      <c r="J12" s="169"/>
      <c r="K12" s="42" t="e">
        <f t="shared" ref="K12" si="1">TEXT(J12-I12,"[hh]:mm")</f>
        <v>#VALUE!</v>
      </c>
      <c r="L12" s="43" t="s">
        <v>219</v>
      </c>
      <c r="M12" s="40" t="s">
        <v>218</v>
      </c>
    </row>
    <row r="13" spans="1:17" ht="15.75">
      <c r="A13" s="95"/>
      <c r="B13" s="99"/>
      <c r="C13" s="100"/>
      <c r="D13" s="100"/>
      <c r="E13" s="99"/>
      <c r="F13" s="100"/>
      <c r="G13" s="96"/>
      <c r="H13" s="100"/>
      <c r="I13" s="101"/>
      <c r="J13" s="102"/>
      <c r="K13" s="32"/>
      <c r="L13" s="43"/>
      <c r="M13" s="96"/>
    </row>
    <row r="14" spans="1:17" ht="23.25">
      <c r="A14" s="13"/>
      <c r="B14" s="37" t="s">
        <v>29</v>
      </c>
      <c r="C14" s="38"/>
      <c r="D14" s="38"/>
      <c r="E14" s="38"/>
      <c r="F14" s="39"/>
      <c r="G14" s="40"/>
      <c r="H14" s="39"/>
      <c r="I14" s="41"/>
      <c r="J14" s="41"/>
      <c r="K14" s="42"/>
      <c r="L14" s="43"/>
      <c r="M14" s="38"/>
    </row>
    <row r="15" spans="1:17" ht="135">
      <c r="A15" s="30">
        <v>1</v>
      </c>
      <c r="B15" s="29" t="s">
        <v>29</v>
      </c>
      <c r="C15" s="29" t="s">
        <v>69</v>
      </c>
      <c r="D15" s="29" t="s">
        <v>70</v>
      </c>
      <c r="E15" s="29" t="s">
        <v>71</v>
      </c>
      <c r="F15" s="29" t="s">
        <v>72</v>
      </c>
      <c r="G15" s="29" t="s">
        <v>73</v>
      </c>
      <c r="H15" s="29" t="s">
        <v>74</v>
      </c>
      <c r="I15" s="61">
        <v>44202.375</v>
      </c>
      <c r="J15" s="61">
        <v>44202.875</v>
      </c>
      <c r="K15" s="42" t="str">
        <f t="shared" ref="K15:K23" si="2">TEXT(J15-I15,"[hh]:mm")</f>
        <v>12:00</v>
      </c>
      <c r="L15" s="43" t="s">
        <v>269</v>
      </c>
      <c r="M15" s="38" t="s">
        <v>108</v>
      </c>
    </row>
    <row r="16" spans="1:17" ht="135">
      <c r="A16" s="30">
        <f>A15+1</f>
        <v>2</v>
      </c>
      <c r="B16" s="29" t="s">
        <v>29</v>
      </c>
      <c r="C16" s="29" t="s">
        <v>75</v>
      </c>
      <c r="D16" s="29" t="s">
        <v>70</v>
      </c>
      <c r="E16" s="29" t="s">
        <v>71</v>
      </c>
      <c r="F16" s="29" t="s">
        <v>76</v>
      </c>
      <c r="G16" s="29" t="s">
        <v>73</v>
      </c>
      <c r="H16" s="29" t="s">
        <v>74</v>
      </c>
      <c r="I16" s="61">
        <v>44202.375</v>
      </c>
      <c r="J16" s="61">
        <v>44202.875</v>
      </c>
      <c r="K16" s="42" t="str">
        <f t="shared" si="2"/>
        <v>12:00</v>
      </c>
      <c r="L16" s="16" t="s">
        <v>269</v>
      </c>
      <c r="M16" s="38" t="s">
        <v>109</v>
      </c>
    </row>
    <row r="17" spans="1:15" ht="180">
      <c r="A17" s="123">
        <v>3</v>
      </c>
      <c r="B17" s="62" t="str">
        <f t="shared" ref="B17" si="3">B16</f>
        <v>APTRANSCO</v>
      </c>
      <c r="C17" s="62" t="s">
        <v>77</v>
      </c>
      <c r="D17" s="62" t="s">
        <v>70</v>
      </c>
      <c r="E17" s="62" t="s">
        <v>78</v>
      </c>
      <c r="F17" s="62" t="s">
        <v>79</v>
      </c>
      <c r="G17" s="29" t="s">
        <v>73</v>
      </c>
      <c r="H17" s="29" t="s">
        <v>80</v>
      </c>
      <c r="I17" s="61">
        <v>44202.375</v>
      </c>
      <c r="J17" s="61">
        <v>44202.875</v>
      </c>
      <c r="K17" s="42" t="str">
        <f t="shared" si="2"/>
        <v>12:00</v>
      </c>
      <c r="L17" s="16" t="s">
        <v>269</v>
      </c>
      <c r="M17" s="38" t="s">
        <v>110</v>
      </c>
    </row>
    <row r="18" spans="1:15" ht="180">
      <c r="A18" s="123">
        <v>4</v>
      </c>
      <c r="B18" s="62" t="str">
        <f>B17</f>
        <v>APTRANSCO</v>
      </c>
      <c r="C18" s="62" t="s">
        <v>81</v>
      </c>
      <c r="D18" s="62" t="s">
        <v>70</v>
      </c>
      <c r="E18" s="62" t="s">
        <v>78</v>
      </c>
      <c r="F18" s="62" t="s">
        <v>82</v>
      </c>
      <c r="G18" s="29" t="s">
        <v>73</v>
      </c>
      <c r="H18" s="29" t="s">
        <v>83</v>
      </c>
      <c r="I18" s="61">
        <v>44202.375</v>
      </c>
      <c r="J18" s="61">
        <v>44202.875</v>
      </c>
      <c r="K18" s="42" t="str">
        <f t="shared" si="2"/>
        <v>12:00</v>
      </c>
      <c r="L18" s="16" t="s">
        <v>269</v>
      </c>
      <c r="M18" s="38" t="s">
        <v>111</v>
      </c>
    </row>
    <row r="19" spans="1:15" ht="180">
      <c r="A19" s="123">
        <v>5</v>
      </c>
      <c r="B19" s="62" t="str">
        <f>B18</f>
        <v>APTRANSCO</v>
      </c>
      <c r="C19" s="62" t="s">
        <v>84</v>
      </c>
      <c r="D19" s="62" t="s">
        <v>70</v>
      </c>
      <c r="E19" s="62" t="s">
        <v>85</v>
      </c>
      <c r="F19" s="62" t="s">
        <v>86</v>
      </c>
      <c r="G19" s="29" t="s">
        <v>73</v>
      </c>
      <c r="H19" s="29" t="s">
        <v>83</v>
      </c>
      <c r="I19" s="61">
        <v>44202.375</v>
      </c>
      <c r="J19" s="61">
        <v>44202.875</v>
      </c>
      <c r="K19" s="42" t="str">
        <f t="shared" si="2"/>
        <v>12:00</v>
      </c>
      <c r="L19" s="16" t="s">
        <v>269</v>
      </c>
      <c r="M19" s="38" t="s">
        <v>112</v>
      </c>
    </row>
    <row r="20" spans="1:15" ht="180">
      <c r="A20" s="123">
        <v>6</v>
      </c>
      <c r="B20" s="62" t="str">
        <f>B19</f>
        <v>APTRANSCO</v>
      </c>
      <c r="C20" s="62" t="s">
        <v>87</v>
      </c>
      <c r="D20" s="62" t="s">
        <v>70</v>
      </c>
      <c r="E20" s="62" t="s">
        <v>88</v>
      </c>
      <c r="F20" s="62" t="s">
        <v>89</v>
      </c>
      <c r="G20" s="29" t="s">
        <v>73</v>
      </c>
      <c r="H20" s="29" t="s">
        <v>83</v>
      </c>
      <c r="I20" s="61">
        <v>44202.375</v>
      </c>
      <c r="J20" s="61">
        <v>44202.875</v>
      </c>
      <c r="K20" s="42" t="str">
        <f t="shared" si="2"/>
        <v>12:00</v>
      </c>
      <c r="L20" s="16" t="s">
        <v>269</v>
      </c>
      <c r="M20" s="38" t="s">
        <v>113</v>
      </c>
    </row>
    <row r="21" spans="1:15" ht="180">
      <c r="A21" s="123">
        <v>7</v>
      </c>
      <c r="B21" s="62" t="str">
        <f t="shared" ref="B21:B23" si="4">B20</f>
        <v>APTRANSCO</v>
      </c>
      <c r="C21" s="62" t="s">
        <v>90</v>
      </c>
      <c r="D21" s="62" t="s">
        <v>70</v>
      </c>
      <c r="E21" s="62" t="s">
        <v>91</v>
      </c>
      <c r="F21" s="62" t="s">
        <v>92</v>
      </c>
      <c r="G21" s="29" t="s">
        <v>73</v>
      </c>
      <c r="H21" s="29" t="s">
        <v>83</v>
      </c>
      <c r="I21" s="61">
        <v>44202.375</v>
      </c>
      <c r="J21" s="61">
        <v>44202.875</v>
      </c>
      <c r="K21" s="42" t="str">
        <f t="shared" si="2"/>
        <v>12:00</v>
      </c>
      <c r="L21" s="16" t="s">
        <v>269</v>
      </c>
      <c r="M21" s="38" t="s">
        <v>114</v>
      </c>
    </row>
    <row r="22" spans="1:15" ht="180">
      <c r="A22" s="123">
        <v>8</v>
      </c>
      <c r="B22" s="62" t="str">
        <f t="shared" si="4"/>
        <v>APTRANSCO</v>
      </c>
      <c r="C22" s="62" t="s">
        <v>93</v>
      </c>
      <c r="D22" s="62" t="s">
        <v>70</v>
      </c>
      <c r="E22" s="62" t="s">
        <v>94</v>
      </c>
      <c r="F22" s="62" t="s">
        <v>95</v>
      </c>
      <c r="G22" s="29" t="s">
        <v>73</v>
      </c>
      <c r="H22" s="29" t="s">
        <v>83</v>
      </c>
      <c r="I22" s="61">
        <v>44202.375</v>
      </c>
      <c r="J22" s="61">
        <v>44202.875</v>
      </c>
      <c r="K22" s="42" t="str">
        <f t="shared" si="2"/>
        <v>12:00</v>
      </c>
      <c r="L22" s="16" t="s">
        <v>269</v>
      </c>
      <c r="M22" s="38" t="s">
        <v>115</v>
      </c>
    </row>
    <row r="23" spans="1:15" ht="180">
      <c r="A23" s="123">
        <v>9</v>
      </c>
      <c r="B23" s="62" t="str">
        <f t="shared" si="4"/>
        <v>APTRANSCO</v>
      </c>
      <c r="C23" s="62" t="s">
        <v>96</v>
      </c>
      <c r="D23" s="62" t="s">
        <v>70</v>
      </c>
      <c r="E23" s="62" t="s">
        <v>97</v>
      </c>
      <c r="F23" s="62" t="s">
        <v>98</v>
      </c>
      <c r="G23" s="29" t="s">
        <v>73</v>
      </c>
      <c r="H23" s="29" t="s">
        <v>83</v>
      </c>
      <c r="I23" s="61">
        <v>44202.375</v>
      </c>
      <c r="J23" s="61">
        <v>44202.875</v>
      </c>
      <c r="K23" s="42" t="str">
        <f t="shared" si="2"/>
        <v>12:00</v>
      </c>
      <c r="L23" s="16" t="s">
        <v>269</v>
      </c>
      <c r="M23" s="38" t="s">
        <v>116</v>
      </c>
    </row>
    <row r="24" spans="1:15">
      <c r="A24" s="123"/>
      <c r="B24" s="62"/>
      <c r="C24" s="62"/>
      <c r="D24" s="62"/>
      <c r="E24" s="62"/>
      <c r="F24" s="62"/>
      <c r="G24" s="29"/>
      <c r="H24" s="29"/>
      <c r="I24" s="61"/>
      <c r="J24" s="61"/>
      <c r="K24" s="32"/>
      <c r="L24" s="16"/>
      <c r="M24" s="63"/>
    </row>
    <row r="25" spans="1:15">
      <c r="A25" s="13"/>
      <c r="B25" s="44"/>
      <c r="C25" s="38"/>
      <c r="D25" s="38"/>
      <c r="E25" s="38"/>
      <c r="F25" s="39"/>
      <c r="G25" s="40"/>
      <c r="H25" s="39"/>
      <c r="I25" s="41"/>
      <c r="J25" s="41"/>
      <c r="K25" s="42"/>
      <c r="L25" s="43"/>
      <c r="M25" s="38"/>
    </row>
    <row r="26" spans="1:15" ht="23.25">
      <c r="A26" s="13"/>
      <c r="B26" s="37" t="s">
        <v>30</v>
      </c>
      <c r="C26" s="38"/>
      <c r="D26" s="38"/>
      <c r="E26" s="38"/>
      <c r="F26" s="39"/>
      <c r="G26" s="40"/>
      <c r="H26" s="39"/>
      <c r="I26" s="41"/>
      <c r="J26" s="41"/>
      <c r="K26" s="42"/>
      <c r="L26" s="43"/>
      <c r="M26" s="38"/>
    </row>
    <row r="27" spans="1:15" ht="42" customHeight="1">
      <c r="A27" s="13">
        <v>1</v>
      </c>
      <c r="B27" s="14" t="s">
        <v>30</v>
      </c>
      <c r="C27" s="29" t="s">
        <v>119</v>
      </c>
      <c r="D27" s="13" t="s">
        <v>120</v>
      </c>
      <c r="E27" s="30" t="s">
        <v>121</v>
      </c>
      <c r="F27" s="30" t="s">
        <v>122</v>
      </c>
      <c r="G27" s="13" t="s">
        <v>30</v>
      </c>
      <c r="H27" s="29" t="s">
        <v>123</v>
      </c>
      <c r="I27" s="46">
        <v>44202.520833333336</v>
      </c>
      <c r="J27" s="46">
        <v>44202.541666666664</v>
      </c>
      <c r="K27" s="32" t="str">
        <f>TEXT(J27-I27,"[hh]:mm")</f>
        <v>00:30</v>
      </c>
      <c r="L27" s="16" t="s">
        <v>269</v>
      </c>
      <c r="M27" s="14"/>
    </row>
    <row r="28" spans="1:15" ht="42" customHeight="1">
      <c r="A28" s="13">
        <v>2</v>
      </c>
      <c r="B28" s="14" t="s">
        <v>30</v>
      </c>
      <c r="C28" s="29" t="s">
        <v>119</v>
      </c>
      <c r="D28" s="13" t="s">
        <v>120</v>
      </c>
      <c r="E28" s="30" t="s">
        <v>121</v>
      </c>
      <c r="F28" s="30" t="s">
        <v>122</v>
      </c>
      <c r="G28" s="13" t="s">
        <v>30</v>
      </c>
      <c r="H28" s="29" t="s">
        <v>123</v>
      </c>
      <c r="I28" s="46">
        <v>44223.520833333336</v>
      </c>
      <c r="J28" s="46">
        <v>44223.541666666664</v>
      </c>
      <c r="K28" s="32" t="str">
        <f>TEXT(J28-I28,"[hh]:mm")</f>
        <v>00:30</v>
      </c>
      <c r="L28" s="16" t="s">
        <v>269</v>
      </c>
      <c r="M28" s="14"/>
    </row>
    <row r="29" spans="1:15">
      <c r="A29" s="13"/>
      <c r="B29" s="44"/>
      <c r="C29" s="38"/>
      <c r="D29" s="38"/>
      <c r="E29" s="38"/>
      <c r="F29" s="39"/>
      <c r="G29" s="40"/>
      <c r="H29" s="39"/>
      <c r="I29" s="41"/>
      <c r="J29" s="41"/>
      <c r="K29" s="42"/>
      <c r="L29" s="43"/>
      <c r="M29" s="38"/>
    </row>
    <row r="30" spans="1:15" ht="23.25">
      <c r="A30" s="13"/>
      <c r="B30" s="37" t="s">
        <v>31</v>
      </c>
      <c r="C30" s="38"/>
      <c r="D30" s="38"/>
      <c r="E30" s="38"/>
      <c r="F30" s="39"/>
      <c r="G30" s="40"/>
      <c r="H30" s="39"/>
      <c r="I30" s="41"/>
      <c r="J30" s="41"/>
      <c r="K30" s="42"/>
      <c r="L30" s="43"/>
      <c r="M30" s="38"/>
    </row>
    <row r="31" spans="1:15" s="47" customFormat="1" ht="129.75" customHeight="1">
      <c r="A31" s="68">
        <v>1</v>
      </c>
      <c r="B31" s="81" t="s">
        <v>31</v>
      </c>
      <c r="C31" s="82" t="s">
        <v>38</v>
      </c>
      <c r="D31" s="83" t="s">
        <v>40</v>
      </c>
      <c r="E31" s="83" t="s">
        <v>44</v>
      </c>
      <c r="F31" s="83" t="s">
        <v>143</v>
      </c>
      <c r="G31" s="83" t="s">
        <v>31</v>
      </c>
      <c r="H31" s="84" t="s">
        <v>144</v>
      </c>
      <c r="I31" s="88">
        <v>44207.4375</v>
      </c>
      <c r="J31" s="88">
        <v>44207.5</v>
      </c>
      <c r="K31" s="32" t="str">
        <f>TEXT(J31-I31,"[hh]:mm")</f>
        <v>01:30</v>
      </c>
      <c r="L31" s="69" t="s">
        <v>269</v>
      </c>
      <c r="M31" s="84" t="s">
        <v>145</v>
      </c>
      <c r="O31" s="50"/>
    </row>
    <row r="32" spans="1:15" s="47" customFormat="1" ht="45">
      <c r="A32" s="68">
        <v>2</v>
      </c>
      <c r="B32" s="81" t="s">
        <v>31</v>
      </c>
      <c r="C32" s="82" t="s">
        <v>38</v>
      </c>
      <c r="D32" s="83" t="s">
        <v>39</v>
      </c>
      <c r="E32" s="83" t="s">
        <v>40</v>
      </c>
      <c r="F32" s="83" t="s">
        <v>143</v>
      </c>
      <c r="G32" s="83" t="s">
        <v>31</v>
      </c>
      <c r="H32" s="84" t="s">
        <v>144</v>
      </c>
      <c r="I32" s="88">
        <v>44207.4375</v>
      </c>
      <c r="J32" s="88">
        <v>44207.5</v>
      </c>
      <c r="K32" s="32" t="str">
        <f t="shared" ref="K32:K56" si="5">TEXT(J32-I32,"[hh]:mm")</f>
        <v>01:30</v>
      </c>
      <c r="L32" s="69" t="s">
        <v>269</v>
      </c>
      <c r="M32" s="84" t="s">
        <v>137</v>
      </c>
    </row>
    <row r="33" spans="1:19" s="47" customFormat="1" ht="45">
      <c r="A33" s="68">
        <v>3</v>
      </c>
      <c r="B33" s="81" t="s">
        <v>31</v>
      </c>
      <c r="C33" s="82" t="s">
        <v>38</v>
      </c>
      <c r="D33" s="83" t="s">
        <v>39</v>
      </c>
      <c r="E33" s="83" t="s">
        <v>44</v>
      </c>
      <c r="F33" s="83" t="s">
        <v>143</v>
      </c>
      <c r="G33" s="83" t="s">
        <v>31</v>
      </c>
      <c r="H33" s="84" t="s">
        <v>144</v>
      </c>
      <c r="I33" s="88">
        <v>44207.4375</v>
      </c>
      <c r="J33" s="88">
        <v>44207.5</v>
      </c>
      <c r="K33" s="32" t="str">
        <f t="shared" si="5"/>
        <v>01:30</v>
      </c>
      <c r="L33" s="69" t="s">
        <v>269</v>
      </c>
      <c r="M33" s="84" t="s">
        <v>132</v>
      </c>
    </row>
    <row r="34" spans="1:19" s="47" customFormat="1" ht="90">
      <c r="A34" s="68">
        <v>4</v>
      </c>
      <c r="B34" s="127" t="s">
        <v>31</v>
      </c>
      <c r="C34" s="128" t="s">
        <v>146</v>
      </c>
      <c r="D34" s="129" t="s">
        <v>39</v>
      </c>
      <c r="E34" s="129" t="s">
        <v>44</v>
      </c>
      <c r="F34" s="130" t="s">
        <v>143</v>
      </c>
      <c r="G34" s="129" t="s">
        <v>31</v>
      </c>
      <c r="H34" s="131" t="s">
        <v>144</v>
      </c>
      <c r="I34" s="132">
        <v>44207.4375</v>
      </c>
      <c r="J34" s="132">
        <v>44207.5</v>
      </c>
      <c r="K34" s="133" t="str">
        <f t="shared" si="5"/>
        <v>01:30</v>
      </c>
      <c r="L34" s="194" t="s">
        <v>269</v>
      </c>
      <c r="M34" s="84" t="s">
        <v>270</v>
      </c>
      <c r="P34" s="48"/>
      <c r="Q34" s="48"/>
      <c r="R34" s="48"/>
      <c r="S34" s="48"/>
    </row>
    <row r="35" spans="1:19" s="47" customFormat="1" ht="90">
      <c r="A35" s="68">
        <v>5</v>
      </c>
      <c r="B35" s="127" t="s">
        <v>31</v>
      </c>
      <c r="C35" s="128" t="s">
        <v>147</v>
      </c>
      <c r="D35" s="129" t="s">
        <v>39</v>
      </c>
      <c r="E35" s="129" t="s">
        <v>44</v>
      </c>
      <c r="F35" s="130" t="s">
        <v>143</v>
      </c>
      <c r="G35" s="129" t="s">
        <v>31</v>
      </c>
      <c r="H35" s="131" t="s">
        <v>144</v>
      </c>
      <c r="I35" s="132">
        <v>44207.4375</v>
      </c>
      <c r="J35" s="132">
        <v>44207.5</v>
      </c>
      <c r="K35" s="133" t="str">
        <f t="shared" si="5"/>
        <v>01:30</v>
      </c>
      <c r="L35" s="194" t="s">
        <v>269</v>
      </c>
      <c r="M35" s="84" t="s">
        <v>271</v>
      </c>
      <c r="P35" s="48"/>
      <c r="Q35" s="48"/>
      <c r="R35" s="48"/>
      <c r="S35" s="48"/>
    </row>
    <row r="36" spans="1:19" s="47" customFormat="1" ht="90">
      <c r="A36" s="68">
        <v>6</v>
      </c>
      <c r="B36" s="127" t="s">
        <v>31</v>
      </c>
      <c r="C36" s="128" t="s">
        <v>42</v>
      </c>
      <c r="D36" s="129" t="s">
        <v>40</v>
      </c>
      <c r="E36" s="129" t="s">
        <v>39</v>
      </c>
      <c r="F36" s="130" t="s">
        <v>143</v>
      </c>
      <c r="G36" s="129" t="s">
        <v>31</v>
      </c>
      <c r="H36" s="131" t="s">
        <v>144</v>
      </c>
      <c r="I36" s="132">
        <v>44207.4375</v>
      </c>
      <c r="J36" s="132">
        <v>44207.5</v>
      </c>
      <c r="K36" s="133" t="str">
        <f t="shared" si="5"/>
        <v>01:30</v>
      </c>
      <c r="L36" s="194" t="s">
        <v>269</v>
      </c>
      <c r="M36" s="84" t="s">
        <v>272</v>
      </c>
      <c r="P36" s="48"/>
      <c r="Q36" s="48"/>
      <c r="R36" s="48"/>
      <c r="S36" s="48"/>
    </row>
    <row r="37" spans="1:19" s="47" customFormat="1" ht="90">
      <c r="A37" s="68">
        <v>7</v>
      </c>
      <c r="B37" s="127" t="s">
        <v>31</v>
      </c>
      <c r="C37" s="128" t="s">
        <v>43</v>
      </c>
      <c r="D37" s="129" t="s">
        <v>40</v>
      </c>
      <c r="E37" s="129" t="s">
        <v>39</v>
      </c>
      <c r="F37" s="130" t="s">
        <v>143</v>
      </c>
      <c r="G37" s="129" t="s">
        <v>31</v>
      </c>
      <c r="H37" s="131" t="s">
        <v>144</v>
      </c>
      <c r="I37" s="132">
        <v>44207.4375</v>
      </c>
      <c r="J37" s="132">
        <v>44207.5</v>
      </c>
      <c r="K37" s="133" t="str">
        <f t="shared" si="5"/>
        <v>01:30</v>
      </c>
      <c r="L37" s="69" t="s">
        <v>269</v>
      </c>
      <c r="M37" s="84" t="s">
        <v>273</v>
      </c>
      <c r="P37" s="48"/>
      <c r="Q37" s="51"/>
      <c r="R37" s="48"/>
      <c r="S37" s="48"/>
    </row>
    <row r="38" spans="1:19" s="47" customFormat="1" ht="45">
      <c r="A38" s="68">
        <v>8</v>
      </c>
      <c r="B38" s="81" t="s">
        <v>31</v>
      </c>
      <c r="C38" s="82" t="s">
        <v>148</v>
      </c>
      <c r="D38" s="83" t="s">
        <v>39</v>
      </c>
      <c r="E38" s="83" t="s">
        <v>44</v>
      </c>
      <c r="F38" s="85" t="s">
        <v>143</v>
      </c>
      <c r="G38" s="83" t="s">
        <v>31</v>
      </c>
      <c r="H38" s="84" t="s">
        <v>144</v>
      </c>
      <c r="I38" s="88">
        <v>44207.4375</v>
      </c>
      <c r="J38" s="88">
        <v>44207.5</v>
      </c>
      <c r="K38" s="32" t="str">
        <f t="shared" si="5"/>
        <v>01:30</v>
      </c>
      <c r="L38" s="69" t="s">
        <v>269</v>
      </c>
      <c r="M38" s="84" t="s">
        <v>149</v>
      </c>
      <c r="P38" s="48"/>
      <c r="Q38" s="49"/>
      <c r="R38" s="48"/>
      <c r="S38" s="48"/>
    </row>
    <row r="39" spans="1:19" s="47" customFormat="1" ht="45">
      <c r="A39" s="68">
        <v>9</v>
      </c>
      <c r="B39" s="81" t="s">
        <v>31</v>
      </c>
      <c r="C39" s="82" t="s">
        <v>150</v>
      </c>
      <c r="D39" s="83" t="s">
        <v>45</v>
      </c>
      <c r="E39" s="83" t="s">
        <v>151</v>
      </c>
      <c r="F39" s="83" t="s">
        <v>143</v>
      </c>
      <c r="G39" s="84" t="s">
        <v>152</v>
      </c>
      <c r="H39" s="84" t="s">
        <v>144</v>
      </c>
      <c r="I39" s="88">
        <v>44207.4375</v>
      </c>
      <c r="J39" s="88">
        <v>44207.5</v>
      </c>
      <c r="K39" s="32" t="str">
        <f t="shared" si="5"/>
        <v>01:30</v>
      </c>
      <c r="L39" s="69" t="s">
        <v>269</v>
      </c>
      <c r="M39" s="84" t="s">
        <v>153</v>
      </c>
      <c r="P39" s="48"/>
      <c r="Q39" s="49"/>
      <c r="R39" s="48"/>
      <c r="S39" s="48"/>
    </row>
    <row r="40" spans="1:19" s="47" customFormat="1" ht="45">
      <c r="A40" s="68">
        <v>10</v>
      </c>
      <c r="B40" s="81" t="s">
        <v>31</v>
      </c>
      <c r="C40" s="82" t="s">
        <v>34</v>
      </c>
      <c r="D40" s="83" t="s">
        <v>48</v>
      </c>
      <c r="E40" s="83" t="s">
        <v>36</v>
      </c>
      <c r="F40" s="83" t="s">
        <v>143</v>
      </c>
      <c r="G40" s="84" t="s">
        <v>37</v>
      </c>
      <c r="H40" s="84" t="s">
        <v>144</v>
      </c>
      <c r="I40" s="88">
        <v>44207.4375</v>
      </c>
      <c r="J40" s="88">
        <v>44207.5</v>
      </c>
      <c r="K40" s="32" t="str">
        <f t="shared" si="5"/>
        <v>01:30</v>
      </c>
      <c r="L40" s="69" t="s">
        <v>269</v>
      </c>
      <c r="M40" s="84" t="s">
        <v>154</v>
      </c>
      <c r="P40" s="48"/>
      <c r="Q40" s="49"/>
      <c r="R40" s="48"/>
      <c r="S40" s="48"/>
    </row>
    <row r="41" spans="1:19" s="47" customFormat="1" ht="45">
      <c r="A41" s="68">
        <v>11</v>
      </c>
      <c r="B41" s="81" t="s">
        <v>31</v>
      </c>
      <c r="C41" s="82" t="s">
        <v>34</v>
      </c>
      <c r="D41" s="83" t="s">
        <v>35</v>
      </c>
      <c r="E41" s="83" t="s">
        <v>36</v>
      </c>
      <c r="F41" s="83" t="s">
        <v>143</v>
      </c>
      <c r="G41" s="84" t="s">
        <v>37</v>
      </c>
      <c r="H41" s="84" t="s">
        <v>144</v>
      </c>
      <c r="I41" s="88">
        <v>44207.4375</v>
      </c>
      <c r="J41" s="88">
        <v>44207.5</v>
      </c>
      <c r="K41" s="32" t="str">
        <f t="shared" si="5"/>
        <v>01:30</v>
      </c>
      <c r="L41" s="69" t="s">
        <v>269</v>
      </c>
      <c r="M41" s="84" t="s">
        <v>155</v>
      </c>
      <c r="P41" s="48"/>
      <c r="Q41" s="48"/>
      <c r="R41" s="48"/>
      <c r="S41" s="48"/>
    </row>
    <row r="42" spans="1:19" s="47" customFormat="1" ht="45">
      <c r="A42" s="68">
        <v>12</v>
      </c>
      <c r="B42" s="81" t="s">
        <v>31</v>
      </c>
      <c r="C42" s="82" t="s">
        <v>41</v>
      </c>
      <c r="D42" s="83" t="s">
        <v>39</v>
      </c>
      <c r="E42" s="83" t="s">
        <v>44</v>
      </c>
      <c r="F42" s="83" t="s">
        <v>143</v>
      </c>
      <c r="G42" s="84" t="s">
        <v>31</v>
      </c>
      <c r="H42" s="84" t="s">
        <v>144</v>
      </c>
      <c r="I42" s="88">
        <v>44207.4375</v>
      </c>
      <c r="J42" s="88">
        <v>44207.5</v>
      </c>
      <c r="K42" s="32" t="str">
        <f t="shared" si="5"/>
        <v>01:30</v>
      </c>
      <c r="L42" s="69" t="s">
        <v>269</v>
      </c>
      <c r="M42" s="84" t="s">
        <v>156</v>
      </c>
      <c r="P42" s="48"/>
      <c r="Q42" s="48"/>
      <c r="R42" s="48"/>
      <c r="S42" s="48"/>
    </row>
    <row r="43" spans="1:19" s="47" customFormat="1" ht="45">
      <c r="A43" s="68">
        <v>13</v>
      </c>
      <c r="B43" s="81" t="s">
        <v>31</v>
      </c>
      <c r="C43" s="82" t="s">
        <v>41</v>
      </c>
      <c r="D43" s="83" t="s">
        <v>39</v>
      </c>
      <c r="E43" s="83" t="s">
        <v>40</v>
      </c>
      <c r="F43" s="83" t="s">
        <v>143</v>
      </c>
      <c r="G43" s="84" t="s">
        <v>31</v>
      </c>
      <c r="H43" s="84" t="s">
        <v>144</v>
      </c>
      <c r="I43" s="88">
        <v>44207.4375</v>
      </c>
      <c r="J43" s="88">
        <v>44207.5</v>
      </c>
      <c r="K43" s="32" t="str">
        <f t="shared" si="5"/>
        <v>01:30</v>
      </c>
      <c r="L43" s="69" t="s">
        <v>269</v>
      </c>
      <c r="M43" s="84" t="s">
        <v>157</v>
      </c>
      <c r="P43" s="48"/>
      <c r="Q43" s="48"/>
      <c r="R43" s="48"/>
      <c r="S43" s="48"/>
    </row>
    <row r="44" spans="1:19" s="47" customFormat="1" ht="45">
      <c r="A44" s="68">
        <v>14</v>
      </c>
      <c r="B44" s="81" t="s">
        <v>31</v>
      </c>
      <c r="C44" s="82" t="s">
        <v>38</v>
      </c>
      <c r="D44" s="83" t="s">
        <v>39</v>
      </c>
      <c r="E44" s="83" t="s">
        <v>44</v>
      </c>
      <c r="F44" s="83" t="s">
        <v>143</v>
      </c>
      <c r="G44" s="83" t="s">
        <v>31</v>
      </c>
      <c r="H44" s="84" t="s">
        <v>158</v>
      </c>
      <c r="I44" s="88">
        <v>44214.458333333336</v>
      </c>
      <c r="J44" s="88">
        <v>44214.5</v>
      </c>
      <c r="K44" s="32" t="str">
        <f t="shared" si="5"/>
        <v>01:00</v>
      </c>
      <c r="L44" s="69" t="s">
        <v>269</v>
      </c>
      <c r="M44" s="84" t="s">
        <v>145</v>
      </c>
      <c r="P44" s="48"/>
      <c r="Q44" s="51"/>
      <c r="R44" s="48"/>
      <c r="S44" s="48"/>
    </row>
    <row r="45" spans="1:19" s="47" customFormat="1" ht="90">
      <c r="A45" s="68">
        <v>15</v>
      </c>
      <c r="B45" s="127" t="s">
        <v>31</v>
      </c>
      <c r="C45" s="128" t="s">
        <v>146</v>
      </c>
      <c r="D45" s="129" t="s">
        <v>39</v>
      </c>
      <c r="E45" s="129" t="s">
        <v>44</v>
      </c>
      <c r="F45" s="130" t="s">
        <v>143</v>
      </c>
      <c r="G45" s="129" t="s">
        <v>31</v>
      </c>
      <c r="H45" s="131" t="s">
        <v>158</v>
      </c>
      <c r="I45" s="132">
        <v>44214.458333333336</v>
      </c>
      <c r="J45" s="132">
        <v>44214.5</v>
      </c>
      <c r="K45" s="133" t="str">
        <f t="shared" si="5"/>
        <v>01:00</v>
      </c>
      <c r="L45" s="69" t="s">
        <v>269</v>
      </c>
      <c r="M45" s="84" t="s">
        <v>270</v>
      </c>
      <c r="P45" s="48"/>
      <c r="Q45" s="51"/>
      <c r="R45" s="48"/>
      <c r="S45" s="48"/>
    </row>
    <row r="46" spans="1:19" s="47" customFormat="1" ht="90">
      <c r="A46" s="68">
        <v>16</v>
      </c>
      <c r="B46" s="127" t="s">
        <v>31</v>
      </c>
      <c r="C46" s="128" t="s">
        <v>147</v>
      </c>
      <c r="D46" s="129" t="s">
        <v>39</v>
      </c>
      <c r="E46" s="129" t="s">
        <v>44</v>
      </c>
      <c r="F46" s="130" t="s">
        <v>143</v>
      </c>
      <c r="G46" s="129" t="s">
        <v>31</v>
      </c>
      <c r="H46" s="131" t="s">
        <v>158</v>
      </c>
      <c r="I46" s="132">
        <v>44214.458333333336</v>
      </c>
      <c r="J46" s="132">
        <v>44214.5</v>
      </c>
      <c r="K46" s="133" t="str">
        <f t="shared" si="5"/>
        <v>01:00</v>
      </c>
      <c r="L46" s="69" t="s">
        <v>269</v>
      </c>
      <c r="M46" s="84" t="s">
        <v>271</v>
      </c>
      <c r="P46" s="48"/>
      <c r="Q46" s="51"/>
      <c r="R46" s="48"/>
      <c r="S46" s="48"/>
    </row>
    <row r="47" spans="1:19" s="47" customFormat="1" ht="45">
      <c r="A47" s="68">
        <v>17</v>
      </c>
      <c r="B47" s="81" t="s">
        <v>31</v>
      </c>
      <c r="C47" s="82" t="s">
        <v>150</v>
      </c>
      <c r="D47" s="83" t="s">
        <v>51</v>
      </c>
      <c r="E47" s="83" t="s">
        <v>151</v>
      </c>
      <c r="F47" s="83" t="s">
        <v>143</v>
      </c>
      <c r="G47" s="84" t="s">
        <v>152</v>
      </c>
      <c r="H47" s="84" t="s">
        <v>158</v>
      </c>
      <c r="I47" s="88">
        <v>44214.458333333336</v>
      </c>
      <c r="J47" s="88">
        <v>44214.5</v>
      </c>
      <c r="K47" s="32" t="str">
        <f t="shared" si="5"/>
        <v>01:00</v>
      </c>
      <c r="L47" s="69" t="s">
        <v>269</v>
      </c>
      <c r="M47" s="84" t="s">
        <v>159</v>
      </c>
      <c r="P47" s="48"/>
      <c r="Q47" s="51"/>
      <c r="R47" s="48"/>
      <c r="S47" s="48"/>
    </row>
    <row r="48" spans="1:19" s="47" customFormat="1" ht="51.75" customHeight="1">
      <c r="A48" s="68">
        <v>18</v>
      </c>
      <c r="B48" s="81" t="s">
        <v>31</v>
      </c>
      <c r="C48" s="82" t="s">
        <v>150</v>
      </c>
      <c r="D48" s="83" t="s">
        <v>64</v>
      </c>
      <c r="E48" s="83" t="s">
        <v>151</v>
      </c>
      <c r="F48" s="83" t="s">
        <v>143</v>
      </c>
      <c r="G48" s="84" t="s">
        <v>152</v>
      </c>
      <c r="H48" s="84" t="s">
        <v>158</v>
      </c>
      <c r="I48" s="88">
        <v>44214.458333333336</v>
      </c>
      <c r="J48" s="88">
        <v>44214.5</v>
      </c>
      <c r="K48" s="32" t="str">
        <f t="shared" si="5"/>
        <v>01:00</v>
      </c>
      <c r="L48" s="69" t="s">
        <v>269</v>
      </c>
      <c r="M48" s="84" t="s">
        <v>160</v>
      </c>
      <c r="P48" s="48"/>
      <c r="Q48" s="51"/>
      <c r="R48" s="48"/>
      <c r="S48" s="48"/>
    </row>
    <row r="49" spans="1:19" s="47" customFormat="1" ht="51.75" customHeight="1">
      <c r="A49" s="68">
        <v>19</v>
      </c>
      <c r="B49" s="81" t="s">
        <v>31</v>
      </c>
      <c r="C49" s="82" t="s">
        <v>161</v>
      </c>
      <c r="D49" s="83" t="s">
        <v>63</v>
      </c>
      <c r="E49" s="83" t="s">
        <v>36</v>
      </c>
      <c r="F49" s="83" t="s">
        <v>143</v>
      </c>
      <c r="G49" s="84" t="s">
        <v>152</v>
      </c>
      <c r="H49" s="84" t="s">
        <v>158</v>
      </c>
      <c r="I49" s="88">
        <v>44214.458333333336</v>
      </c>
      <c r="J49" s="88">
        <v>44214.5</v>
      </c>
      <c r="K49" s="32" t="str">
        <f t="shared" si="5"/>
        <v>01:00</v>
      </c>
      <c r="L49" s="69" t="s">
        <v>269</v>
      </c>
      <c r="M49" s="84" t="s">
        <v>162</v>
      </c>
      <c r="P49" s="48"/>
      <c r="Q49" s="51"/>
      <c r="R49" s="48"/>
      <c r="S49" s="48"/>
    </row>
    <row r="50" spans="1:19" s="47" customFormat="1" ht="45">
      <c r="A50" s="68">
        <v>20</v>
      </c>
      <c r="B50" s="81" t="s">
        <v>31</v>
      </c>
      <c r="C50" s="82" t="s">
        <v>161</v>
      </c>
      <c r="D50" s="83" t="s">
        <v>163</v>
      </c>
      <c r="E50" s="83" t="s">
        <v>36</v>
      </c>
      <c r="F50" s="83" t="s">
        <v>143</v>
      </c>
      <c r="G50" s="84" t="s">
        <v>152</v>
      </c>
      <c r="H50" s="84" t="s">
        <v>158</v>
      </c>
      <c r="I50" s="88">
        <v>44214.458333333336</v>
      </c>
      <c r="J50" s="88">
        <v>44214.5</v>
      </c>
      <c r="K50" s="32" t="str">
        <f t="shared" si="5"/>
        <v>01:00</v>
      </c>
      <c r="L50" s="69" t="s">
        <v>269</v>
      </c>
      <c r="M50" s="84" t="s">
        <v>164</v>
      </c>
      <c r="P50" s="48"/>
      <c r="Q50" s="51"/>
      <c r="R50" s="48"/>
      <c r="S50" s="48"/>
    </row>
    <row r="51" spans="1:19" s="47" customFormat="1" ht="45">
      <c r="A51" s="68">
        <v>21</v>
      </c>
      <c r="B51" s="81" t="s">
        <v>31</v>
      </c>
      <c r="C51" s="82" t="s">
        <v>41</v>
      </c>
      <c r="D51" s="83" t="s">
        <v>39</v>
      </c>
      <c r="E51" s="83" t="s">
        <v>44</v>
      </c>
      <c r="F51" s="83" t="s">
        <v>143</v>
      </c>
      <c r="G51" s="84" t="s">
        <v>31</v>
      </c>
      <c r="H51" s="84" t="s">
        <v>158</v>
      </c>
      <c r="I51" s="88">
        <v>44214.458333333336</v>
      </c>
      <c r="J51" s="88">
        <v>44214.5</v>
      </c>
      <c r="K51" s="32" t="str">
        <f t="shared" si="5"/>
        <v>01:00</v>
      </c>
      <c r="L51" s="69" t="s">
        <v>269</v>
      </c>
      <c r="M51" s="84" t="s">
        <v>156</v>
      </c>
      <c r="P51" s="48"/>
      <c r="Q51" s="51"/>
      <c r="R51" s="48"/>
      <c r="S51" s="48"/>
    </row>
    <row r="52" spans="1:19" s="47" customFormat="1" ht="30">
      <c r="A52" s="68">
        <v>22</v>
      </c>
      <c r="B52" s="81" t="s">
        <v>31</v>
      </c>
      <c r="C52" s="82" t="s">
        <v>38</v>
      </c>
      <c r="D52" s="83" t="s">
        <v>39</v>
      </c>
      <c r="E52" s="83" t="s">
        <v>44</v>
      </c>
      <c r="F52" s="83" t="s">
        <v>143</v>
      </c>
      <c r="G52" s="83" t="s">
        <v>31</v>
      </c>
      <c r="H52" s="84" t="s">
        <v>165</v>
      </c>
      <c r="I52" s="88">
        <v>44217.354166666664</v>
      </c>
      <c r="J52" s="88">
        <v>44217.708333333336</v>
      </c>
      <c r="K52" s="32" t="str">
        <f t="shared" si="5"/>
        <v>08:30</v>
      </c>
      <c r="L52" s="69" t="s">
        <v>269</v>
      </c>
      <c r="M52" s="84" t="s">
        <v>132</v>
      </c>
      <c r="P52" s="48"/>
      <c r="Q52" s="51"/>
      <c r="R52" s="48"/>
      <c r="S52" s="48"/>
    </row>
    <row r="53" spans="1:19" s="47" customFormat="1" ht="90">
      <c r="A53" s="68">
        <v>23</v>
      </c>
      <c r="B53" s="127" t="s">
        <v>31</v>
      </c>
      <c r="C53" s="128" t="s">
        <v>146</v>
      </c>
      <c r="D53" s="129" t="s">
        <v>39</v>
      </c>
      <c r="E53" s="129" t="s">
        <v>44</v>
      </c>
      <c r="F53" s="130" t="s">
        <v>143</v>
      </c>
      <c r="G53" s="129" t="s">
        <v>31</v>
      </c>
      <c r="H53" s="131" t="s">
        <v>165</v>
      </c>
      <c r="I53" s="132">
        <v>44217.354166666664</v>
      </c>
      <c r="J53" s="132">
        <v>44217.708333333336</v>
      </c>
      <c r="K53" s="133" t="str">
        <f t="shared" si="5"/>
        <v>08:30</v>
      </c>
      <c r="L53" s="69" t="s">
        <v>269</v>
      </c>
      <c r="M53" s="84" t="s">
        <v>270</v>
      </c>
      <c r="P53" s="48"/>
      <c r="Q53" s="49"/>
      <c r="R53" s="48"/>
      <c r="S53" s="48"/>
    </row>
    <row r="54" spans="1:19" s="47" customFormat="1" ht="90">
      <c r="A54" s="68">
        <v>24</v>
      </c>
      <c r="B54" s="127" t="s">
        <v>31</v>
      </c>
      <c r="C54" s="128" t="s">
        <v>147</v>
      </c>
      <c r="D54" s="129" t="s">
        <v>39</v>
      </c>
      <c r="E54" s="129" t="s">
        <v>44</v>
      </c>
      <c r="F54" s="130" t="s">
        <v>143</v>
      </c>
      <c r="G54" s="129" t="s">
        <v>31</v>
      </c>
      <c r="H54" s="131" t="s">
        <v>165</v>
      </c>
      <c r="I54" s="132">
        <v>44217.354166666664</v>
      </c>
      <c r="J54" s="132">
        <v>44217.708333333336</v>
      </c>
      <c r="K54" s="133" t="str">
        <f t="shared" si="5"/>
        <v>08:30</v>
      </c>
      <c r="L54" s="69" t="s">
        <v>269</v>
      </c>
      <c r="M54" s="84" t="s">
        <v>271</v>
      </c>
      <c r="P54" s="48"/>
      <c r="Q54" s="49"/>
      <c r="R54" s="48"/>
      <c r="S54" s="48"/>
    </row>
    <row r="55" spans="1:19" s="47" customFormat="1" ht="30">
      <c r="A55" s="68">
        <v>25</v>
      </c>
      <c r="B55" s="81" t="s">
        <v>31</v>
      </c>
      <c r="C55" s="82" t="s">
        <v>150</v>
      </c>
      <c r="D55" s="83" t="s">
        <v>64</v>
      </c>
      <c r="E55" s="83" t="s">
        <v>151</v>
      </c>
      <c r="F55" s="83" t="s">
        <v>143</v>
      </c>
      <c r="G55" s="84" t="s">
        <v>152</v>
      </c>
      <c r="H55" s="84" t="s">
        <v>165</v>
      </c>
      <c r="I55" s="88">
        <v>44217.354166666664</v>
      </c>
      <c r="J55" s="88">
        <v>44217.708333333336</v>
      </c>
      <c r="K55" s="32" t="str">
        <f t="shared" si="5"/>
        <v>08:30</v>
      </c>
      <c r="L55" s="69" t="s">
        <v>269</v>
      </c>
      <c r="M55" s="84" t="s">
        <v>160</v>
      </c>
      <c r="P55" s="48"/>
      <c r="Q55" s="49"/>
      <c r="R55" s="48"/>
      <c r="S55" s="48"/>
    </row>
    <row r="56" spans="1:19" s="47" customFormat="1" ht="30">
      <c r="A56" s="68">
        <v>26</v>
      </c>
      <c r="B56" s="81" t="s">
        <v>31</v>
      </c>
      <c r="C56" s="82" t="s">
        <v>41</v>
      </c>
      <c r="D56" s="83" t="s">
        <v>39</v>
      </c>
      <c r="E56" s="83" t="s">
        <v>44</v>
      </c>
      <c r="F56" s="83" t="s">
        <v>143</v>
      </c>
      <c r="G56" s="84" t="s">
        <v>31</v>
      </c>
      <c r="H56" s="84" t="s">
        <v>165</v>
      </c>
      <c r="I56" s="88">
        <v>44217.354166666664</v>
      </c>
      <c r="J56" s="88">
        <v>44217.708333333336</v>
      </c>
      <c r="K56" s="32" t="str">
        <f t="shared" si="5"/>
        <v>08:30</v>
      </c>
      <c r="L56" s="69" t="s">
        <v>269</v>
      </c>
      <c r="M56" s="84" t="s">
        <v>156</v>
      </c>
      <c r="P56" s="48"/>
      <c r="Q56" s="49"/>
      <c r="R56" s="48"/>
      <c r="S56" s="48"/>
    </row>
    <row r="57" spans="1:19" s="47" customFormat="1" ht="15.75">
      <c r="A57" s="68"/>
      <c r="B57" s="81"/>
      <c r="C57" s="82"/>
      <c r="D57" s="83"/>
      <c r="E57" s="83"/>
      <c r="F57" s="83"/>
      <c r="G57" s="84"/>
      <c r="H57" s="84"/>
      <c r="I57" s="88"/>
      <c r="J57" s="88"/>
      <c r="K57" s="32"/>
      <c r="L57" s="69"/>
      <c r="M57" s="84"/>
      <c r="P57" s="48"/>
      <c r="Q57" s="49"/>
      <c r="R57" s="48"/>
      <c r="S57" s="48"/>
    </row>
    <row r="58" spans="1:19" s="47" customFormat="1" ht="15.75">
      <c r="A58" s="68"/>
      <c r="B58" s="81"/>
      <c r="C58" s="82"/>
      <c r="D58" s="83"/>
      <c r="E58" s="83"/>
      <c r="F58" s="83"/>
      <c r="G58" s="84"/>
      <c r="H58" s="84"/>
      <c r="I58" s="88"/>
      <c r="J58" s="88"/>
      <c r="K58" s="32"/>
      <c r="L58" s="69"/>
      <c r="M58" s="84"/>
      <c r="P58" s="48"/>
      <c r="Q58" s="48"/>
      <c r="R58" s="48"/>
      <c r="S58" s="48"/>
    </row>
    <row r="59" spans="1:19" ht="23.25">
      <c r="A59" s="13"/>
      <c r="B59" s="37" t="s">
        <v>32</v>
      </c>
      <c r="C59" s="38"/>
      <c r="D59" s="38"/>
      <c r="E59" s="38"/>
      <c r="F59" s="39"/>
      <c r="G59" s="40"/>
      <c r="H59" s="39"/>
      <c r="I59" s="41"/>
      <c r="J59" s="41"/>
      <c r="K59" s="42"/>
      <c r="L59" s="43"/>
      <c r="M59" s="38"/>
    </row>
    <row r="60" spans="1:19" ht="105.75" customHeight="1">
      <c r="A60" s="13">
        <v>1</v>
      </c>
      <c r="B60" s="14" t="s">
        <v>32</v>
      </c>
      <c r="C60" s="14" t="s">
        <v>55</v>
      </c>
      <c r="D60" s="14" t="s">
        <v>52</v>
      </c>
      <c r="E60" s="14" t="s">
        <v>56</v>
      </c>
      <c r="F60" s="30" t="s">
        <v>57</v>
      </c>
      <c r="G60" s="30" t="s">
        <v>58</v>
      </c>
      <c r="H60" s="30" t="s">
        <v>184</v>
      </c>
      <c r="I60" s="87" t="s">
        <v>217</v>
      </c>
      <c r="J60" s="87" t="s">
        <v>217</v>
      </c>
      <c r="K60" s="32" t="e">
        <f t="shared" ref="K60:K61" si="6">TEXT(J60-I60,"[hh]:mm")</f>
        <v>#VALUE!</v>
      </c>
      <c r="L60" s="16" t="s">
        <v>219</v>
      </c>
      <c r="M60" s="29" t="s">
        <v>218</v>
      </c>
    </row>
    <row r="61" spans="1:19" ht="78.75" customHeight="1">
      <c r="A61" s="13">
        <v>2</v>
      </c>
      <c r="B61" s="14" t="s">
        <v>32</v>
      </c>
      <c r="C61" s="29" t="s">
        <v>185</v>
      </c>
      <c r="D61" s="14" t="s">
        <v>186</v>
      </c>
      <c r="E61" s="14" t="s">
        <v>187</v>
      </c>
      <c r="F61" s="30" t="s">
        <v>143</v>
      </c>
      <c r="G61" s="30" t="s">
        <v>174</v>
      </c>
      <c r="H61" s="30" t="s">
        <v>188</v>
      </c>
      <c r="I61" s="87" t="s">
        <v>217</v>
      </c>
      <c r="J61" s="87" t="s">
        <v>217</v>
      </c>
      <c r="K61" s="32" t="e">
        <f t="shared" si="6"/>
        <v>#VALUE!</v>
      </c>
      <c r="L61" s="16" t="s">
        <v>219</v>
      </c>
      <c r="M61" s="29" t="s">
        <v>218</v>
      </c>
    </row>
    <row r="62" spans="1:19" ht="45.75" customHeight="1">
      <c r="A62" s="122">
        <v>3</v>
      </c>
      <c r="B62" s="106" t="s">
        <v>32</v>
      </c>
      <c r="C62" s="106" t="s">
        <v>189</v>
      </c>
      <c r="D62" s="106" t="s">
        <v>190</v>
      </c>
      <c r="E62" s="106" t="s">
        <v>36</v>
      </c>
      <c r="F62" s="106" t="s">
        <v>191</v>
      </c>
      <c r="G62" s="106" t="s">
        <v>32</v>
      </c>
      <c r="H62" s="106" t="s">
        <v>192</v>
      </c>
      <c r="I62" s="107">
        <v>44216.416666666664</v>
      </c>
      <c r="J62" s="107">
        <v>44216.583333333336</v>
      </c>
      <c r="K62" s="124" t="str">
        <f>TEXT(J62-I62,"[hh]:mm")</f>
        <v>04:00</v>
      </c>
      <c r="L62" s="195" t="s">
        <v>269</v>
      </c>
      <c r="M62" s="105" t="s">
        <v>193</v>
      </c>
    </row>
    <row r="63" spans="1:19" ht="75">
      <c r="A63" s="13">
        <v>4</v>
      </c>
      <c r="B63" s="14" t="s">
        <v>32</v>
      </c>
      <c r="C63" s="163" t="s">
        <v>217</v>
      </c>
      <c r="D63" s="164"/>
      <c r="E63" s="164"/>
      <c r="F63" s="164"/>
      <c r="G63" s="165"/>
      <c r="H63" s="29" t="s">
        <v>194</v>
      </c>
      <c r="I63" s="87">
        <v>44180.375</v>
      </c>
      <c r="J63" s="87">
        <v>44180.708333333336</v>
      </c>
      <c r="K63" s="32" t="str">
        <f>TEXT(J63-I63,"[hh]:mm")</f>
        <v>08:00</v>
      </c>
      <c r="L63" s="16" t="s">
        <v>219</v>
      </c>
      <c r="M63" s="29" t="s">
        <v>274</v>
      </c>
    </row>
    <row r="64" spans="1:19" ht="23.25">
      <c r="A64" s="13"/>
      <c r="B64" s="37" t="s">
        <v>33</v>
      </c>
      <c r="C64" s="38" t="s">
        <v>27</v>
      </c>
      <c r="D64" s="38"/>
      <c r="E64" s="38"/>
      <c r="F64" s="39"/>
      <c r="G64" s="40"/>
      <c r="H64" s="39"/>
      <c r="I64" s="41"/>
      <c r="J64" s="41"/>
      <c r="K64" s="42"/>
      <c r="L64" s="43"/>
      <c r="M64" s="38"/>
    </row>
    <row r="65" spans="1:13">
      <c r="A65" s="13"/>
      <c r="B65" s="38"/>
      <c r="C65" s="38"/>
      <c r="D65" s="38"/>
      <c r="E65" s="38"/>
      <c r="F65" s="39"/>
      <c r="G65" s="40"/>
      <c r="H65" s="39"/>
      <c r="I65" s="41"/>
      <c r="J65" s="41"/>
      <c r="K65" s="42"/>
      <c r="L65" s="43"/>
      <c r="M65" s="38"/>
    </row>
    <row r="66" spans="1:13" ht="23.25">
      <c r="A66" s="13"/>
      <c r="B66" s="37" t="s">
        <v>47</v>
      </c>
      <c r="C66" s="44"/>
      <c r="D66" s="38"/>
      <c r="E66" s="38"/>
      <c r="F66" s="39"/>
      <c r="G66" s="40"/>
      <c r="H66" s="39"/>
      <c r="I66" s="41"/>
      <c r="J66" s="41"/>
      <c r="K66" s="42"/>
      <c r="L66" s="43"/>
      <c r="M66" s="38"/>
    </row>
    <row r="67" spans="1:13" ht="60">
      <c r="A67" s="13">
        <v>1</v>
      </c>
      <c r="B67" s="30" t="s">
        <v>126</v>
      </c>
      <c r="C67" s="30" t="s">
        <v>127</v>
      </c>
      <c r="D67" s="30" t="s">
        <v>128</v>
      </c>
      <c r="E67" s="30" t="s">
        <v>129</v>
      </c>
      <c r="F67" s="30" t="s">
        <v>130</v>
      </c>
      <c r="G67" s="30" t="s">
        <v>126</v>
      </c>
      <c r="H67" s="29" t="s">
        <v>131</v>
      </c>
      <c r="I67" s="15">
        <v>44203.416666666664</v>
      </c>
      <c r="J67" s="15">
        <v>44203.541666666664</v>
      </c>
      <c r="K67" s="32" t="str">
        <f>TEXT(J67-I67,"[hh]:mm")</f>
        <v>03:00</v>
      </c>
      <c r="L67" s="66" t="s">
        <v>269</v>
      </c>
      <c r="M67" s="80" t="s">
        <v>132</v>
      </c>
    </row>
    <row r="68" spans="1:13">
      <c r="A68" s="145">
        <v>2</v>
      </c>
      <c r="B68" s="148" t="s">
        <v>126</v>
      </c>
      <c r="C68" s="148" t="s">
        <v>133</v>
      </c>
      <c r="D68" s="148" t="s">
        <v>134</v>
      </c>
      <c r="E68" s="148" t="s">
        <v>129</v>
      </c>
      <c r="F68" s="148" t="s">
        <v>135</v>
      </c>
      <c r="G68" s="148" t="s">
        <v>126</v>
      </c>
      <c r="H68" s="151" t="s">
        <v>136</v>
      </c>
      <c r="I68" s="154">
        <v>44224.416666666664</v>
      </c>
      <c r="J68" s="154">
        <v>44224.541666666664</v>
      </c>
      <c r="K68" s="157" t="str">
        <f>TEXT(J68-I68,"[hh]:mm")</f>
        <v>03:00</v>
      </c>
      <c r="L68" s="191" t="s">
        <v>269</v>
      </c>
      <c r="M68" s="160" t="s">
        <v>137</v>
      </c>
    </row>
    <row r="69" spans="1:13">
      <c r="A69" s="146"/>
      <c r="B69" s="149"/>
      <c r="C69" s="149"/>
      <c r="D69" s="149"/>
      <c r="E69" s="149"/>
      <c r="F69" s="149"/>
      <c r="G69" s="149"/>
      <c r="H69" s="152"/>
      <c r="I69" s="155"/>
      <c r="J69" s="146"/>
      <c r="K69" s="158"/>
      <c r="L69" s="192"/>
      <c r="M69" s="161"/>
    </row>
    <row r="70" spans="1:13">
      <c r="A70" s="146"/>
      <c r="B70" s="149"/>
      <c r="C70" s="149"/>
      <c r="D70" s="149"/>
      <c r="E70" s="149"/>
      <c r="F70" s="149"/>
      <c r="G70" s="149"/>
      <c r="H70" s="152"/>
      <c r="I70" s="155"/>
      <c r="J70" s="146"/>
      <c r="K70" s="158"/>
      <c r="L70" s="192"/>
      <c r="M70" s="161"/>
    </row>
    <row r="71" spans="1:13">
      <c r="A71" s="147"/>
      <c r="B71" s="150"/>
      <c r="C71" s="150"/>
      <c r="D71" s="150"/>
      <c r="E71" s="150"/>
      <c r="F71" s="150"/>
      <c r="G71" s="150"/>
      <c r="H71" s="153"/>
      <c r="I71" s="156"/>
      <c r="J71" s="147"/>
      <c r="K71" s="159"/>
      <c r="L71" s="193"/>
      <c r="M71" s="162"/>
    </row>
  </sheetData>
  <sortState ref="B17:M54">
    <sortCondition ref="M17:M54"/>
  </sortState>
  <mergeCells count="19">
    <mergeCell ref="I12:J12"/>
    <mergeCell ref="A2:M2"/>
    <mergeCell ref="A3:M3"/>
    <mergeCell ref="A1:M1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K68:K71"/>
    <mergeCell ref="L68:L71"/>
    <mergeCell ref="M68:M71"/>
    <mergeCell ref="C63:G63"/>
    <mergeCell ref="I11:J11"/>
  </mergeCells>
  <pageMargins left="0.7" right="0.7" top="0.75" bottom="0.75" header="0.3" footer="0.3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view="pageBreakPreview" zoomScale="70" zoomScaleSheetLayoutView="70" workbookViewId="0">
      <pane ySplit="7" topLeftCell="A8" activePane="bottomLeft" state="frozen"/>
      <selection pane="bottomLeft" activeCell="H6" sqref="H6"/>
    </sheetView>
  </sheetViews>
  <sheetFormatPr defaultRowHeight="15"/>
  <cols>
    <col min="1" max="1" width="4.42578125" style="4" customWidth="1"/>
    <col min="2" max="2" width="22.7109375" style="94" customWidth="1"/>
    <col min="3" max="3" width="24.7109375" style="1" customWidth="1"/>
    <col min="4" max="4" width="24.42578125" style="1" customWidth="1"/>
    <col min="5" max="5" width="19" style="1" customWidth="1"/>
    <col min="6" max="6" width="19.28515625" style="1" customWidth="1"/>
    <col min="7" max="7" width="15.7109375" style="4" customWidth="1"/>
    <col min="8" max="8" width="28" style="1" customWidth="1"/>
    <col min="9" max="9" width="23.42578125" style="5" customWidth="1"/>
    <col min="10" max="10" width="24.85546875" style="5" customWidth="1"/>
    <col min="11" max="11" width="14.85546875" style="31" customWidth="1"/>
    <col min="12" max="12" width="6.5703125" style="6" customWidth="1"/>
    <col min="13" max="13" width="36.85546875" style="94" customWidth="1"/>
  </cols>
  <sheetData>
    <row r="1" spans="1:14" ht="24" customHeight="1">
      <c r="A1" s="144" t="s">
        <v>19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4" ht="26.25">
      <c r="A2" s="170" t="s">
        <v>54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4" ht="26.25">
      <c r="A3" s="171">
        <f>'Links - COA 1'!A3:M3</f>
        <v>44197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spans="1:14">
      <c r="L4" s="36" t="s">
        <v>23</v>
      </c>
      <c r="M4" s="9">
        <f>'Links - COA 1'!M4</f>
        <v>44194</v>
      </c>
    </row>
    <row r="5" spans="1:14" ht="18" customHeight="1">
      <c r="A5" s="8" t="s">
        <v>11</v>
      </c>
      <c r="B5" s="108" t="s">
        <v>13</v>
      </c>
      <c r="K5" s="36"/>
      <c r="L5" s="17" t="s">
        <v>0</v>
      </c>
      <c r="M5" s="9">
        <f>'Links - COA 1'!M5</f>
        <v>44194</v>
      </c>
    </row>
    <row r="6" spans="1:14" s="2" customFormat="1" ht="102.75" customHeight="1">
      <c r="A6" s="19" t="s">
        <v>1</v>
      </c>
      <c r="B6" s="89" t="s">
        <v>2</v>
      </c>
      <c r="C6" s="21" t="s">
        <v>24</v>
      </c>
      <c r="D6" s="21" t="s">
        <v>12</v>
      </c>
      <c r="E6" s="20" t="s">
        <v>18</v>
      </c>
      <c r="F6" s="21" t="s">
        <v>25</v>
      </c>
      <c r="G6" s="21" t="s">
        <v>15</v>
      </c>
      <c r="H6" s="22" t="s">
        <v>17</v>
      </c>
      <c r="I6" s="23" t="s">
        <v>5</v>
      </c>
      <c r="J6" s="23" t="s">
        <v>6</v>
      </c>
      <c r="K6" s="24" t="s">
        <v>9</v>
      </c>
      <c r="L6" s="25" t="s">
        <v>8</v>
      </c>
      <c r="M6" s="89" t="s">
        <v>7</v>
      </c>
      <c r="N6" s="3"/>
    </row>
    <row r="7" spans="1:14" ht="15.75" customHeight="1">
      <c r="A7" s="26">
        <v>1</v>
      </c>
      <c r="B7" s="109">
        <v>2</v>
      </c>
      <c r="C7" s="27">
        <v>3</v>
      </c>
      <c r="D7" s="28">
        <v>4</v>
      </c>
      <c r="E7" s="28">
        <v>5</v>
      </c>
      <c r="F7" s="28">
        <v>6</v>
      </c>
      <c r="G7" s="28">
        <v>7</v>
      </c>
      <c r="H7" s="28">
        <v>8</v>
      </c>
      <c r="I7" s="28">
        <v>9</v>
      </c>
      <c r="J7" s="28">
        <v>10</v>
      </c>
      <c r="K7" s="28">
        <v>11</v>
      </c>
      <c r="L7" s="28">
        <v>12</v>
      </c>
      <c r="M7" s="90">
        <v>13</v>
      </c>
    </row>
    <row r="8" spans="1:14" ht="23.25">
      <c r="A8" s="45"/>
      <c r="B8" s="110" t="s">
        <v>26</v>
      </c>
      <c r="C8" s="45" t="s">
        <v>27</v>
      </c>
      <c r="D8" s="38"/>
      <c r="E8" s="38"/>
      <c r="F8" s="38"/>
      <c r="G8" s="45"/>
      <c r="H8" s="38"/>
      <c r="I8" s="41"/>
      <c r="J8" s="41"/>
      <c r="K8" s="32" t="str">
        <f>TEXT(J8-I8,"[hh]:mm")</f>
        <v>00:00</v>
      </c>
      <c r="L8" s="16"/>
      <c r="M8" s="55"/>
    </row>
    <row r="9" spans="1:14">
      <c r="A9" s="45"/>
      <c r="B9" s="111"/>
      <c r="C9" s="38"/>
      <c r="D9" s="38"/>
      <c r="E9" s="38"/>
      <c r="F9" s="38"/>
      <c r="G9" s="45"/>
      <c r="H9" s="38"/>
      <c r="I9" s="41"/>
      <c r="J9" s="41"/>
      <c r="K9" s="32"/>
      <c r="L9" s="16"/>
      <c r="M9" s="55"/>
    </row>
    <row r="10" spans="1:14" ht="23.25">
      <c r="A10" s="45"/>
      <c r="B10" s="110" t="s">
        <v>28</v>
      </c>
      <c r="C10" s="38"/>
      <c r="D10" s="38"/>
      <c r="E10" s="38"/>
      <c r="F10" s="38"/>
      <c r="G10" s="45"/>
      <c r="H10" s="38"/>
      <c r="I10" s="41"/>
      <c r="J10" s="41"/>
      <c r="K10" s="32"/>
      <c r="L10" s="16"/>
      <c r="M10" s="55"/>
    </row>
    <row r="11" spans="1:14" ht="60">
      <c r="A11" s="103">
        <v>1</v>
      </c>
      <c r="B11" s="112" t="s">
        <v>201</v>
      </c>
      <c r="C11" s="104" t="s">
        <v>214</v>
      </c>
      <c r="D11" s="100" t="s">
        <v>203</v>
      </c>
      <c r="E11" s="40" t="s">
        <v>222</v>
      </c>
      <c r="F11" s="100" t="s">
        <v>215</v>
      </c>
      <c r="G11" s="99" t="s">
        <v>174</v>
      </c>
      <c r="H11" s="96" t="s">
        <v>206</v>
      </c>
      <c r="I11" s="166" t="s">
        <v>207</v>
      </c>
      <c r="J11" s="167"/>
      <c r="K11" s="42" t="e">
        <f t="shared" ref="K11:K12" si="0">TEXT(J11-I11,"[hh]:mm")</f>
        <v>#VALUE!</v>
      </c>
      <c r="L11" s="188" t="s">
        <v>219</v>
      </c>
      <c r="M11" s="91" t="s">
        <v>218</v>
      </c>
    </row>
    <row r="12" spans="1:14" ht="45">
      <c r="A12" s="103">
        <v>2</v>
      </c>
      <c r="B12" s="112" t="s">
        <v>201</v>
      </c>
      <c r="C12" s="30" t="s">
        <v>220</v>
      </c>
      <c r="D12" s="100" t="s">
        <v>209</v>
      </c>
      <c r="E12" s="100" t="s">
        <v>208</v>
      </c>
      <c r="F12" s="99" t="s">
        <v>216</v>
      </c>
      <c r="G12" s="99" t="s">
        <v>174</v>
      </c>
      <c r="H12" s="100" t="s">
        <v>212</v>
      </c>
      <c r="I12" s="168" t="s">
        <v>213</v>
      </c>
      <c r="J12" s="169"/>
      <c r="K12" s="42" t="e">
        <f t="shared" si="0"/>
        <v>#VALUE!</v>
      </c>
      <c r="L12" s="188" t="s">
        <v>219</v>
      </c>
      <c r="M12" s="55" t="s">
        <v>218</v>
      </c>
    </row>
    <row r="13" spans="1:14" ht="15.75">
      <c r="A13" s="103"/>
      <c r="B13" s="112"/>
      <c r="C13" s="104"/>
      <c r="D13" s="100"/>
      <c r="E13" s="100"/>
      <c r="F13" s="99"/>
      <c r="G13" s="99"/>
      <c r="H13" s="100"/>
      <c r="I13" s="101"/>
      <c r="J13" s="102"/>
      <c r="K13" s="32"/>
      <c r="L13" s="188"/>
      <c r="M13" s="55"/>
    </row>
    <row r="14" spans="1:14" ht="23.25">
      <c r="A14" s="45"/>
      <c r="B14" s="110" t="s">
        <v>29</v>
      </c>
      <c r="C14" s="38"/>
      <c r="D14" s="38"/>
      <c r="E14" s="38"/>
      <c r="F14" s="38"/>
      <c r="G14" s="45"/>
      <c r="H14" s="38"/>
      <c r="I14" s="41"/>
      <c r="J14" s="41"/>
      <c r="K14" s="32"/>
      <c r="L14" s="16"/>
      <c r="M14" s="55"/>
    </row>
    <row r="15" spans="1:14" ht="150">
      <c r="A15" s="13">
        <v>1</v>
      </c>
      <c r="B15" s="55" t="s">
        <v>29</v>
      </c>
      <c r="C15" s="62" t="s">
        <v>99</v>
      </c>
      <c r="D15" s="14" t="s">
        <v>100</v>
      </c>
      <c r="E15" s="14" t="s">
        <v>101</v>
      </c>
      <c r="F15" s="29" t="s">
        <v>102</v>
      </c>
      <c r="G15" s="13" t="s">
        <v>103</v>
      </c>
      <c r="H15" s="29" t="s">
        <v>104</v>
      </c>
      <c r="I15" s="64">
        <v>44202.375</v>
      </c>
      <c r="J15" s="64">
        <v>44202.875</v>
      </c>
      <c r="K15" s="42" t="str">
        <f>TEXT(J15-I15,"[hh]:mm")</f>
        <v>12:00</v>
      </c>
      <c r="L15" s="16" t="s">
        <v>269</v>
      </c>
      <c r="M15" s="55" t="s">
        <v>117</v>
      </c>
    </row>
    <row r="16" spans="1:14" ht="60">
      <c r="A16" s="13">
        <v>2</v>
      </c>
      <c r="B16" s="55" t="s">
        <v>29</v>
      </c>
      <c r="C16" s="62" t="s">
        <v>105</v>
      </c>
      <c r="D16" s="14" t="s">
        <v>100</v>
      </c>
      <c r="E16" s="14" t="s">
        <v>106</v>
      </c>
      <c r="F16" s="63"/>
      <c r="G16" s="13" t="s">
        <v>103</v>
      </c>
      <c r="H16" s="29" t="s">
        <v>107</v>
      </c>
      <c r="I16" s="64">
        <v>44202.375</v>
      </c>
      <c r="J16" s="64">
        <v>44202.875</v>
      </c>
      <c r="K16" s="42" t="str">
        <f>TEXT(J16-I16,"[hh]:mm")</f>
        <v>12:00</v>
      </c>
      <c r="L16" s="16" t="s">
        <v>269</v>
      </c>
      <c r="M16" s="55" t="s">
        <v>118</v>
      </c>
    </row>
    <row r="17" spans="1:13">
      <c r="A17" s="13"/>
      <c r="B17" s="55"/>
      <c r="C17" s="62"/>
      <c r="D17" s="14"/>
      <c r="E17" s="14"/>
      <c r="F17" s="63"/>
      <c r="G17" s="13"/>
      <c r="H17" s="29"/>
      <c r="I17" s="64"/>
      <c r="J17" s="64"/>
      <c r="K17" s="42"/>
      <c r="L17" s="16"/>
      <c r="M17" s="55"/>
    </row>
    <row r="18" spans="1:13" ht="23.25">
      <c r="A18" s="13"/>
      <c r="B18" s="65" t="s">
        <v>30</v>
      </c>
      <c r="C18" s="62"/>
      <c r="D18" s="14"/>
      <c r="E18" s="14"/>
      <c r="F18" s="63"/>
      <c r="G18" s="13"/>
      <c r="H18" s="29"/>
      <c r="I18" s="64"/>
      <c r="J18" s="64"/>
      <c r="K18" s="42"/>
      <c r="L18" s="16"/>
      <c r="M18" s="55"/>
    </row>
    <row r="19" spans="1:13" ht="53.25" customHeight="1">
      <c r="A19" s="13">
        <v>1</v>
      </c>
      <c r="B19" s="55" t="s">
        <v>30</v>
      </c>
      <c r="C19" s="13" t="s">
        <v>124</v>
      </c>
      <c r="D19" s="14" t="s">
        <v>120</v>
      </c>
      <c r="E19" s="29" t="s">
        <v>121</v>
      </c>
      <c r="F19" s="30" t="s">
        <v>221</v>
      </c>
      <c r="G19" s="13" t="s">
        <v>30</v>
      </c>
      <c r="H19" s="29" t="s">
        <v>123</v>
      </c>
      <c r="I19" s="46">
        <v>44202.520833333336</v>
      </c>
      <c r="J19" s="46">
        <v>44202.541666666664</v>
      </c>
      <c r="K19" s="32" t="str">
        <f>TEXT(J19-I19,"[hh]:mm")</f>
        <v>00:30</v>
      </c>
      <c r="L19" s="16" t="s">
        <v>269</v>
      </c>
      <c r="M19" s="91" t="s">
        <v>125</v>
      </c>
    </row>
    <row r="20" spans="1:13" ht="53.25" customHeight="1">
      <c r="A20" s="13">
        <v>2</v>
      </c>
      <c r="B20" s="55" t="s">
        <v>30</v>
      </c>
      <c r="C20" s="13" t="s">
        <v>124</v>
      </c>
      <c r="D20" s="14" t="s">
        <v>120</v>
      </c>
      <c r="E20" s="29" t="s">
        <v>121</v>
      </c>
      <c r="F20" s="30" t="s">
        <v>221</v>
      </c>
      <c r="G20" s="13" t="s">
        <v>30</v>
      </c>
      <c r="H20" s="29" t="s">
        <v>123</v>
      </c>
      <c r="I20" s="46">
        <v>44223.520833333336</v>
      </c>
      <c r="J20" s="46">
        <v>44223.541666666664</v>
      </c>
      <c r="K20" s="32" t="str">
        <f>TEXT(J20-I20,"[hh]:mm")</f>
        <v>00:30</v>
      </c>
      <c r="L20" s="16" t="s">
        <v>269</v>
      </c>
      <c r="M20" s="91" t="s">
        <v>125</v>
      </c>
    </row>
    <row r="21" spans="1:13" ht="53.25" customHeight="1">
      <c r="A21" s="13"/>
      <c r="B21" s="55"/>
      <c r="C21" s="13"/>
      <c r="D21" s="14"/>
      <c r="E21" s="29"/>
      <c r="F21" s="30"/>
      <c r="G21" s="13"/>
      <c r="H21" s="29"/>
      <c r="I21" s="46"/>
      <c r="J21" s="46"/>
      <c r="K21" s="32"/>
      <c r="L21" s="16"/>
      <c r="M21" s="55"/>
    </row>
    <row r="22" spans="1:13" ht="23.25">
      <c r="A22" s="45"/>
      <c r="B22" s="110" t="s">
        <v>31</v>
      </c>
      <c r="C22" s="38"/>
      <c r="D22" s="38"/>
      <c r="E22" s="38"/>
      <c r="F22" s="38"/>
      <c r="G22" s="45"/>
      <c r="H22" s="38"/>
      <c r="I22" s="41"/>
      <c r="J22" s="41"/>
      <c r="K22" s="32"/>
      <c r="L22" s="16"/>
      <c r="M22" s="55"/>
    </row>
    <row r="23" spans="1:13" s="56" customFormat="1" ht="54">
      <c r="A23" s="70">
        <v>1</v>
      </c>
      <c r="B23" s="113" t="s">
        <v>31</v>
      </c>
      <c r="C23" s="73" t="s">
        <v>223</v>
      </c>
      <c r="D23" s="72" t="s">
        <v>166</v>
      </c>
      <c r="E23" s="72" t="s">
        <v>27</v>
      </c>
      <c r="F23" s="72" t="s">
        <v>27</v>
      </c>
      <c r="G23" s="72" t="s">
        <v>31</v>
      </c>
      <c r="H23" s="73" t="s">
        <v>50</v>
      </c>
      <c r="I23" s="71">
        <v>44200.4375</v>
      </c>
      <c r="J23" s="71">
        <v>44200.5</v>
      </c>
      <c r="K23" s="32" t="str">
        <f>TEXT(J23-I23,"[hh]:mm")</f>
        <v>01:30</v>
      </c>
      <c r="L23" s="189" t="s">
        <v>269</v>
      </c>
      <c r="M23" s="92"/>
    </row>
    <row r="24" spans="1:13" s="56" customFormat="1" ht="54">
      <c r="A24" s="70">
        <v>2</v>
      </c>
      <c r="B24" s="113" t="s">
        <v>31</v>
      </c>
      <c r="C24" s="73" t="s">
        <v>224</v>
      </c>
      <c r="D24" s="72" t="s">
        <v>166</v>
      </c>
      <c r="E24" s="72" t="s">
        <v>27</v>
      </c>
      <c r="F24" s="72" t="s">
        <v>27</v>
      </c>
      <c r="G24" s="72" t="s">
        <v>31</v>
      </c>
      <c r="H24" s="73" t="s">
        <v>61</v>
      </c>
      <c r="I24" s="71">
        <v>44200.604166666664</v>
      </c>
      <c r="J24" s="71">
        <v>44200.666666666664</v>
      </c>
      <c r="K24" s="32" t="str">
        <f>TEXT(J24-I24,"[hh]:mm")</f>
        <v>01:30</v>
      </c>
      <c r="L24" s="189" t="s">
        <v>269</v>
      </c>
      <c r="M24" s="92"/>
    </row>
    <row r="25" spans="1:13" s="56" customFormat="1" ht="54">
      <c r="A25" s="70">
        <v>3</v>
      </c>
      <c r="B25" s="114" t="s">
        <v>31</v>
      </c>
      <c r="C25" s="75" t="s">
        <v>225</v>
      </c>
      <c r="D25" s="75" t="s">
        <v>46</v>
      </c>
      <c r="E25" s="72" t="s">
        <v>27</v>
      </c>
      <c r="F25" s="72" t="s">
        <v>27</v>
      </c>
      <c r="G25" s="74" t="s">
        <v>31</v>
      </c>
      <c r="H25" s="73" t="s">
        <v>167</v>
      </c>
      <c r="I25" s="71">
        <v>44201.4375</v>
      </c>
      <c r="J25" s="71">
        <v>44201.520833333336</v>
      </c>
      <c r="K25" s="32" t="str">
        <f t="shared" ref="K25:K69" si="1">TEXT(J25-I25,"[hh]:mm")</f>
        <v>02:00</v>
      </c>
      <c r="L25" s="189" t="s">
        <v>269</v>
      </c>
      <c r="M25" s="92"/>
    </row>
    <row r="26" spans="1:13" s="56" customFormat="1" ht="54">
      <c r="A26" s="70">
        <v>4</v>
      </c>
      <c r="B26" s="113" t="s">
        <v>31</v>
      </c>
      <c r="C26" s="73" t="s">
        <v>226</v>
      </c>
      <c r="D26" s="72" t="s">
        <v>168</v>
      </c>
      <c r="E26" s="72" t="s">
        <v>27</v>
      </c>
      <c r="F26" s="72" t="s">
        <v>27</v>
      </c>
      <c r="G26" s="72" t="s">
        <v>31</v>
      </c>
      <c r="H26" s="73" t="s">
        <v>50</v>
      </c>
      <c r="I26" s="71">
        <v>44201.4375</v>
      </c>
      <c r="J26" s="71">
        <v>44201.5</v>
      </c>
      <c r="K26" s="32" t="str">
        <f t="shared" si="1"/>
        <v>01:30</v>
      </c>
      <c r="L26" s="189" t="s">
        <v>269</v>
      </c>
      <c r="M26" s="92"/>
    </row>
    <row r="27" spans="1:13" s="56" customFormat="1" ht="54">
      <c r="A27" s="70">
        <v>5</v>
      </c>
      <c r="B27" s="113" t="s">
        <v>31</v>
      </c>
      <c r="C27" s="73" t="s">
        <v>227</v>
      </c>
      <c r="D27" s="72" t="s">
        <v>168</v>
      </c>
      <c r="E27" s="72" t="s">
        <v>27</v>
      </c>
      <c r="F27" s="72" t="s">
        <v>27</v>
      </c>
      <c r="G27" s="72" t="s">
        <v>31</v>
      </c>
      <c r="H27" s="73" t="s">
        <v>61</v>
      </c>
      <c r="I27" s="71">
        <v>44201.604166666664</v>
      </c>
      <c r="J27" s="71">
        <v>44201.666666666664</v>
      </c>
      <c r="K27" s="32" t="str">
        <f t="shared" si="1"/>
        <v>01:30</v>
      </c>
      <c r="L27" s="189" t="s">
        <v>269</v>
      </c>
      <c r="M27" s="92"/>
    </row>
    <row r="28" spans="1:13" s="56" customFormat="1" ht="54">
      <c r="A28" s="70">
        <v>6</v>
      </c>
      <c r="B28" s="114" t="s">
        <v>31</v>
      </c>
      <c r="C28" s="73" t="s">
        <v>228</v>
      </c>
      <c r="D28" s="73" t="s">
        <v>63</v>
      </c>
      <c r="E28" s="72" t="s">
        <v>27</v>
      </c>
      <c r="F28" s="72" t="s">
        <v>27</v>
      </c>
      <c r="G28" s="74" t="s">
        <v>31</v>
      </c>
      <c r="H28" s="73" t="s">
        <v>167</v>
      </c>
      <c r="I28" s="71">
        <v>44201.395833333336</v>
      </c>
      <c r="J28" s="71">
        <v>44201.625</v>
      </c>
      <c r="K28" s="32" t="str">
        <f t="shared" si="1"/>
        <v>05:30</v>
      </c>
      <c r="L28" s="189" t="s">
        <v>269</v>
      </c>
      <c r="M28" s="92"/>
    </row>
    <row r="29" spans="1:13" s="56" customFormat="1" ht="40.5">
      <c r="A29" s="70">
        <v>7</v>
      </c>
      <c r="B29" s="114" t="s">
        <v>31</v>
      </c>
      <c r="C29" s="73" t="s">
        <v>229</v>
      </c>
      <c r="D29" s="73" t="s">
        <v>63</v>
      </c>
      <c r="E29" s="72" t="s">
        <v>27</v>
      </c>
      <c r="F29" s="72" t="s">
        <v>27</v>
      </c>
      <c r="G29" s="74" t="s">
        <v>31</v>
      </c>
      <c r="H29" s="73" t="s">
        <v>167</v>
      </c>
      <c r="I29" s="71">
        <v>44201.583333333336</v>
      </c>
      <c r="J29" s="71">
        <v>44201.708333333336</v>
      </c>
      <c r="K29" s="32" t="str">
        <f t="shared" si="1"/>
        <v>03:00</v>
      </c>
      <c r="L29" s="189" t="s">
        <v>269</v>
      </c>
      <c r="M29" s="92"/>
    </row>
    <row r="30" spans="1:13" ht="40.5">
      <c r="A30" s="70">
        <v>8</v>
      </c>
      <c r="B30" s="114" t="s">
        <v>31</v>
      </c>
      <c r="C30" s="75" t="s">
        <v>230</v>
      </c>
      <c r="D30" s="75" t="s">
        <v>46</v>
      </c>
      <c r="E30" s="72" t="s">
        <v>27</v>
      </c>
      <c r="F30" s="72" t="s">
        <v>27</v>
      </c>
      <c r="G30" s="74" t="s">
        <v>31</v>
      </c>
      <c r="H30" s="73" t="s">
        <v>167</v>
      </c>
      <c r="I30" s="71">
        <v>44202.4375</v>
      </c>
      <c r="J30" s="71">
        <v>44202.479166666664</v>
      </c>
      <c r="K30" s="32" t="str">
        <f t="shared" si="1"/>
        <v>01:00</v>
      </c>
      <c r="L30" s="189" t="s">
        <v>269</v>
      </c>
      <c r="M30" s="92"/>
    </row>
    <row r="31" spans="1:13" ht="40.5">
      <c r="A31" s="70">
        <v>9</v>
      </c>
      <c r="B31" s="114" t="s">
        <v>31</v>
      </c>
      <c r="C31" s="75" t="s">
        <v>231</v>
      </c>
      <c r="D31" s="75" t="s">
        <v>45</v>
      </c>
      <c r="E31" s="72" t="s">
        <v>27</v>
      </c>
      <c r="F31" s="72" t="s">
        <v>27</v>
      </c>
      <c r="G31" s="74" t="s">
        <v>31</v>
      </c>
      <c r="H31" s="73" t="s">
        <v>167</v>
      </c>
      <c r="I31" s="71">
        <v>44202.4375</v>
      </c>
      <c r="J31" s="71">
        <v>44202.604166666664</v>
      </c>
      <c r="K31" s="32" t="str">
        <f t="shared" si="1"/>
        <v>04:00</v>
      </c>
      <c r="L31" s="189" t="s">
        <v>269</v>
      </c>
      <c r="M31" s="92"/>
    </row>
    <row r="32" spans="1:13" ht="40.5">
      <c r="A32" s="70">
        <v>10</v>
      </c>
      <c r="B32" s="114" t="s">
        <v>31</v>
      </c>
      <c r="C32" s="73" t="s">
        <v>232</v>
      </c>
      <c r="D32" s="73" t="s">
        <v>63</v>
      </c>
      <c r="E32" s="72" t="s">
        <v>27</v>
      </c>
      <c r="F32" s="72" t="s">
        <v>27</v>
      </c>
      <c r="G32" s="74" t="s">
        <v>31</v>
      </c>
      <c r="H32" s="73" t="s">
        <v>167</v>
      </c>
      <c r="I32" s="71">
        <v>44202.395833333336</v>
      </c>
      <c r="J32" s="71">
        <v>44202.520833333336</v>
      </c>
      <c r="K32" s="32" t="str">
        <f t="shared" si="1"/>
        <v>03:00</v>
      </c>
      <c r="L32" s="189" t="s">
        <v>269</v>
      </c>
      <c r="M32" s="92"/>
    </row>
    <row r="33" spans="1:13" ht="54">
      <c r="A33" s="70">
        <v>11</v>
      </c>
      <c r="B33" s="113" t="s">
        <v>31</v>
      </c>
      <c r="C33" s="73" t="s">
        <v>233</v>
      </c>
      <c r="D33" s="72" t="s">
        <v>51</v>
      </c>
      <c r="E33" s="72" t="s">
        <v>27</v>
      </c>
      <c r="F33" s="72" t="s">
        <v>27</v>
      </c>
      <c r="G33" s="72" t="s">
        <v>31</v>
      </c>
      <c r="H33" s="73" t="s">
        <v>50</v>
      </c>
      <c r="I33" s="71">
        <v>44202.4375</v>
      </c>
      <c r="J33" s="71">
        <v>44202.5</v>
      </c>
      <c r="K33" s="32" t="str">
        <f t="shared" si="1"/>
        <v>01:30</v>
      </c>
      <c r="L33" s="189" t="s">
        <v>269</v>
      </c>
      <c r="M33" s="92"/>
    </row>
    <row r="34" spans="1:13" ht="54">
      <c r="A34" s="70">
        <v>12</v>
      </c>
      <c r="B34" s="113" t="s">
        <v>31</v>
      </c>
      <c r="C34" s="73" t="s">
        <v>234</v>
      </c>
      <c r="D34" s="72" t="s">
        <v>51</v>
      </c>
      <c r="E34" s="72" t="s">
        <v>27</v>
      </c>
      <c r="F34" s="72" t="s">
        <v>27</v>
      </c>
      <c r="G34" s="72" t="s">
        <v>31</v>
      </c>
      <c r="H34" s="73" t="s">
        <v>61</v>
      </c>
      <c r="I34" s="71">
        <v>44202.604166666664</v>
      </c>
      <c r="J34" s="71">
        <v>44202.666666666664</v>
      </c>
      <c r="K34" s="32" t="str">
        <f t="shared" si="1"/>
        <v>01:30</v>
      </c>
      <c r="L34" s="189" t="s">
        <v>269</v>
      </c>
      <c r="M34" s="92"/>
    </row>
    <row r="35" spans="1:13" ht="54">
      <c r="A35" s="70">
        <v>13</v>
      </c>
      <c r="B35" s="113" t="s">
        <v>31</v>
      </c>
      <c r="C35" s="73" t="s">
        <v>235</v>
      </c>
      <c r="D35" s="72" t="s">
        <v>49</v>
      </c>
      <c r="E35" s="72" t="s">
        <v>27</v>
      </c>
      <c r="F35" s="72" t="s">
        <v>27</v>
      </c>
      <c r="G35" s="72" t="s">
        <v>31</v>
      </c>
      <c r="H35" s="73" t="s">
        <v>50</v>
      </c>
      <c r="I35" s="71">
        <v>44203.4375</v>
      </c>
      <c r="J35" s="71">
        <v>44203.5</v>
      </c>
      <c r="K35" s="32" t="str">
        <f t="shared" si="1"/>
        <v>01:30</v>
      </c>
      <c r="L35" s="189" t="s">
        <v>269</v>
      </c>
      <c r="M35" s="92"/>
    </row>
    <row r="36" spans="1:13" ht="54">
      <c r="A36" s="70">
        <v>14</v>
      </c>
      <c r="B36" s="113" t="s">
        <v>31</v>
      </c>
      <c r="C36" s="73" t="s">
        <v>236</v>
      </c>
      <c r="D36" s="72" t="s">
        <v>49</v>
      </c>
      <c r="E36" s="72" t="s">
        <v>27</v>
      </c>
      <c r="F36" s="72" t="s">
        <v>27</v>
      </c>
      <c r="G36" s="72" t="s">
        <v>31</v>
      </c>
      <c r="H36" s="73" t="s">
        <v>61</v>
      </c>
      <c r="I36" s="71">
        <v>44203.604166666664</v>
      </c>
      <c r="J36" s="71">
        <v>44203.666666666664</v>
      </c>
      <c r="K36" s="32" t="str">
        <f t="shared" si="1"/>
        <v>01:30</v>
      </c>
      <c r="L36" s="189" t="s">
        <v>269</v>
      </c>
      <c r="M36" s="92"/>
    </row>
    <row r="37" spans="1:13" ht="40.5">
      <c r="A37" s="70">
        <v>15</v>
      </c>
      <c r="B37" s="114" t="s">
        <v>31</v>
      </c>
      <c r="C37" s="73" t="s">
        <v>237</v>
      </c>
      <c r="D37" s="73" t="s">
        <v>64</v>
      </c>
      <c r="E37" s="72" t="s">
        <v>27</v>
      </c>
      <c r="F37" s="72" t="s">
        <v>27</v>
      </c>
      <c r="G37" s="74" t="s">
        <v>31</v>
      </c>
      <c r="H37" s="73" t="s">
        <v>167</v>
      </c>
      <c r="I37" s="71">
        <v>44203.416666666664</v>
      </c>
      <c r="J37" s="71">
        <v>44203.541666666664</v>
      </c>
      <c r="K37" s="32" t="str">
        <f t="shared" si="1"/>
        <v>03:00</v>
      </c>
      <c r="L37" s="189" t="s">
        <v>269</v>
      </c>
      <c r="M37" s="92"/>
    </row>
    <row r="38" spans="1:13" ht="54">
      <c r="A38" s="70">
        <v>16</v>
      </c>
      <c r="B38" s="114" t="s">
        <v>31</v>
      </c>
      <c r="C38" s="75" t="s">
        <v>238</v>
      </c>
      <c r="D38" s="75" t="s">
        <v>45</v>
      </c>
      <c r="E38" s="72" t="s">
        <v>27</v>
      </c>
      <c r="F38" s="72" t="s">
        <v>27</v>
      </c>
      <c r="G38" s="74" t="s">
        <v>31</v>
      </c>
      <c r="H38" s="73" t="s">
        <v>167</v>
      </c>
      <c r="I38" s="71">
        <v>44204.4375</v>
      </c>
      <c r="J38" s="71">
        <v>44204.479166666664</v>
      </c>
      <c r="K38" s="32" t="str">
        <f t="shared" si="1"/>
        <v>01:00</v>
      </c>
      <c r="L38" s="189" t="s">
        <v>269</v>
      </c>
      <c r="M38" s="92"/>
    </row>
    <row r="39" spans="1:13" ht="40.5">
      <c r="A39" s="70">
        <v>17</v>
      </c>
      <c r="B39" s="114" t="s">
        <v>31</v>
      </c>
      <c r="C39" s="73" t="s">
        <v>239</v>
      </c>
      <c r="D39" s="73" t="s">
        <v>64</v>
      </c>
      <c r="E39" s="72" t="s">
        <v>27</v>
      </c>
      <c r="F39" s="72" t="s">
        <v>27</v>
      </c>
      <c r="G39" s="74" t="s">
        <v>31</v>
      </c>
      <c r="H39" s="73" t="s">
        <v>167</v>
      </c>
      <c r="I39" s="71">
        <v>44204.416666666664</v>
      </c>
      <c r="J39" s="71">
        <v>44204.541666666664</v>
      </c>
      <c r="K39" s="32" t="str">
        <f t="shared" si="1"/>
        <v>03:00</v>
      </c>
      <c r="L39" s="189" t="s">
        <v>269</v>
      </c>
      <c r="M39" s="92"/>
    </row>
    <row r="40" spans="1:13" ht="54">
      <c r="A40" s="70">
        <v>18</v>
      </c>
      <c r="B40" s="114" t="s">
        <v>31</v>
      </c>
      <c r="C40" s="75" t="s">
        <v>240</v>
      </c>
      <c r="D40" s="75" t="s">
        <v>48</v>
      </c>
      <c r="E40" s="72" t="s">
        <v>27</v>
      </c>
      <c r="F40" s="72" t="s">
        <v>27</v>
      </c>
      <c r="G40" s="74" t="s">
        <v>31</v>
      </c>
      <c r="H40" s="73" t="s">
        <v>169</v>
      </c>
      <c r="I40" s="71">
        <v>44207.5</v>
      </c>
      <c r="J40" s="71">
        <v>44207.520833333336</v>
      </c>
      <c r="K40" s="32" t="str">
        <f t="shared" si="1"/>
        <v>00:30</v>
      </c>
      <c r="L40" s="189" t="s">
        <v>269</v>
      </c>
      <c r="M40" s="92"/>
    </row>
    <row r="41" spans="1:13" ht="54">
      <c r="A41" s="70">
        <v>19</v>
      </c>
      <c r="B41" s="114" t="s">
        <v>31</v>
      </c>
      <c r="C41" s="75" t="s">
        <v>241</v>
      </c>
      <c r="D41" s="75" t="s">
        <v>48</v>
      </c>
      <c r="E41" s="72" t="s">
        <v>27</v>
      </c>
      <c r="F41" s="72" t="s">
        <v>27</v>
      </c>
      <c r="G41" s="74" t="s">
        <v>31</v>
      </c>
      <c r="H41" s="73" t="s">
        <v>167</v>
      </c>
      <c r="I41" s="71">
        <v>44207.458333333336</v>
      </c>
      <c r="J41" s="71">
        <v>44207.666666666664</v>
      </c>
      <c r="K41" s="32" t="str">
        <f t="shared" si="1"/>
        <v>05:00</v>
      </c>
      <c r="L41" s="189" t="s">
        <v>269</v>
      </c>
      <c r="M41" s="92"/>
    </row>
    <row r="42" spans="1:13" ht="82.5">
      <c r="A42" s="70">
        <v>20</v>
      </c>
      <c r="B42" s="134" t="s">
        <v>31</v>
      </c>
      <c r="C42" s="137" t="s">
        <v>242</v>
      </c>
      <c r="D42" s="140" t="s">
        <v>39</v>
      </c>
      <c r="E42" s="137" t="s">
        <v>170</v>
      </c>
      <c r="F42" s="136" t="s">
        <v>27</v>
      </c>
      <c r="G42" s="140" t="s">
        <v>31</v>
      </c>
      <c r="H42" s="137" t="s">
        <v>171</v>
      </c>
      <c r="I42" s="138">
        <v>44207.4375</v>
      </c>
      <c r="J42" s="138">
        <v>44207.5</v>
      </c>
      <c r="K42" s="133" t="str">
        <f t="shared" si="1"/>
        <v>01:30</v>
      </c>
      <c r="L42" s="189" t="s">
        <v>269</v>
      </c>
      <c r="M42" s="92" t="s">
        <v>268</v>
      </c>
    </row>
    <row r="43" spans="1:13" ht="82.5">
      <c r="A43" s="70">
        <v>21</v>
      </c>
      <c r="B43" s="134" t="s">
        <v>31</v>
      </c>
      <c r="C43" s="135" t="s">
        <v>243</v>
      </c>
      <c r="D43" s="135" t="s">
        <v>39</v>
      </c>
      <c r="E43" s="135" t="s">
        <v>172</v>
      </c>
      <c r="F43" s="136" t="s">
        <v>27</v>
      </c>
      <c r="G43" s="135" t="s">
        <v>31</v>
      </c>
      <c r="H43" s="137" t="s">
        <v>171</v>
      </c>
      <c r="I43" s="138">
        <v>44207.4375</v>
      </c>
      <c r="J43" s="138">
        <v>44207.5</v>
      </c>
      <c r="K43" s="133" t="str">
        <f t="shared" si="1"/>
        <v>01:30</v>
      </c>
      <c r="L43" s="189" t="s">
        <v>269</v>
      </c>
      <c r="M43" s="92" t="s">
        <v>268</v>
      </c>
    </row>
    <row r="44" spans="1:13" ht="82.5">
      <c r="A44" s="70">
        <v>22</v>
      </c>
      <c r="B44" s="134" t="s">
        <v>31</v>
      </c>
      <c r="C44" s="135" t="s">
        <v>244</v>
      </c>
      <c r="D44" s="135" t="s">
        <v>39</v>
      </c>
      <c r="E44" s="135" t="s">
        <v>173</v>
      </c>
      <c r="F44" s="136" t="s">
        <v>27</v>
      </c>
      <c r="G44" s="135" t="s">
        <v>174</v>
      </c>
      <c r="H44" s="137" t="s">
        <v>171</v>
      </c>
      <c r="I44" s="138">
        <v>44207.4375</v>
      </c>
      <c r="J44" s="138">
        <v>44207.5</v>
      </c>
      <c r="K44" s="133" t="str">
        <f t="shared" si="1"/>
        <v>01:30</v>
      </c>
      <c r="L44" s="189" t="s">
        <v>269</v>
      </c>
      <c r="M44" s="92" t="s">
        <v>268</v>
      </c>
    </row>
    <row r="45" spans="1:13" ht="82.5">
      <c r="A45" s="70">
        <v>23</v>
      </c>
      <c r="B45" s="139" t="s">
        <v>31</v>
      </c>
      <c r="C45" s="135" t="s">
        <v>245</v>
      </c>
      <c r="D45" s="135" t="s">
        <v>39</v>
      </c>
      <c r="E45" s="135" t="s">
        <v>175</v>
      </c>
      <c r="F45" s="136" t="s">
        <v>27</v>
      </c>
      <c r="G45" s="135" t="s">
        <v>31</v>
      </c>
      <c r="H45" s="137" t="s">
        <v>171</v>
      </c>
      <c r="I45" s="138">
        <v>44207.4375</v>
      </c>
      <c r="J45" s="138">
        <v>44207.5</v>
      </c>
      <c r="K45" s="133" t="str">
        <f t="shared" si="1"/>
        <v>01:30</v>
      </c>
      <c r="L45" s="189" t="s">
        <v>269</v>
      </c>
      <c r="M45" s="92" t="s">
        <v>268</v>
      </c>
    </row>
    <row r="46" spans="1:13" ht="40.5">
      <c r="A46" s="70">
        <v>24</v>
      </c>
      <c r="B46" s="114" t="s">
        <v>31</v>
      </c>
      <c r="C46" s="75" t="s">
        <v>246</v>
      </c>
      <c r="D46" s="75" t="s">
        <v>62</v>
      </c>
      <c r="E46" s="72" t="s">
        <v>27</v>
      </c>
      <c r="F46" s="72" t="s">
        <v>27</v>
      </c>
      <c r="G46" s="74" t="s">
        <v>31</v>
      </c>
      <c r="H46" s="73" t="s">
        <v>176</v>
      </c>
      <c r="I46" s="71">
        <v>44207.458333333336</v>
      </c>
      <c r="J46" s="71">
        <v>44207.479166666664</v>
      </c>
      <c r="K46" s="32" t="str">
        <f t="shared" si="1"/>
        <v>00:30</v>
      </c>
      <c r="L46" s="189" t="s">
        <v>269</v>
      </c>
      <c r="M46" s="92"/>
    </row>
    <row r="47" spans="1:13" ht="40.5">
      <c r="A47" s="70">
        <v>25</v>
      </c>
      <c r="B47" s="114" t="s">
        <v>31</v>
      </c>
      <c r="C47" s="75" t="s">
        <v>247</v>
      </c>
      <c r="D47" s="75" t="s">
        <v>62</v>
      </c>
      <c r="E47" s="72" t="s">
        <v>27</v>
      </c>
      <c r="F47" s="72" t="s">
        <v>27</v>
      </c>
      <c r="G47" s="74" t="s">
        <v>31</v>
      </c>
      <c r="H47" s="73" t="s">
        <v>176</v>
      </c>
      <c r="I47" s="71">
        <v>44207.458333333336</v>
      </c>
      <c r="J47" s="71">
        <v>44207.479166666664</v>
      </c>
      <c r="K47" s="32" t="str">
        <f t="shared" si="1"/>
        <v>00:30</v>
      </c>
      <c r="L47" s="189" t="s">
        <v>269</v>
      </c>
      <c r="M47" s="92"/>
    </row>
    <row r="48" spans="1:13" ht="54">
      <c r="A48" s="70">
        <v>26</v>
      </c>
      <c r="B48" s="114" t="s">
        <v>31</v>
      </c>
      <c r="C48" s="75" t="s">
        <v>248</v>
      </c>
      <c r="D48" s="73" t="s">
        <v>66</v>
      </c>
      <c r="E48" s="72" t="s">
        <v>27</v>
      </c>
      <c r="F48" s="72" t="s">
        <v>27</v>
      </c>
      <c r="G48" s="74" t="s">
        <v>31</v>
      </c>
      <c r="H48" s="73" t="s">
        <v>67</v>
      </c>
      <c r="I48" s="71">
        <v>44208.395833333336</v>
      </c>
      <c r="J48" s="71">
        <v>44208.541666666664</v>
      </c>
      <c r="K48" s="32" t="str">
        <f t="shared" si="1"/>
        <v>03:30</v>
      </c>
      <c r="L48" s="189" t="s">
        <v>269</v>
      </c>
      <c r="M48" s="92"/>
    </row>
    <row r="49" spans="1:13" ht="54">
      <c r="A49" s="70">
        <v>27</v>
      </c>
      <c r="B49" s="114" t="s">
        <v>31</v>
      </c>
      <c r="C49" s="75" t="s">
        <v>249</v>
      </c>
      <c r="D49" s="73" t="s">
        <v>66</v>
      </c>
      <c r="E49" s="72" t="s">
        <v>27</v>
      </c>
      <c r="F49" s="72" t="s">
        <v>27</v>
      </c>
      <c r="G49" s="74" t="s">
        <v>31</v>
      </c>
      <c r="H49" s="73" t="s">
        <v>68</v>
      </c>
      <c r="I49" s="71">
        <v>44208.583333333336</v>
      </c>
      <c r="J49" s="71">
        <v>44208.729166666664</v>
      </c>
      <c r="K49" s="32" t="str">
        <f t="shared" si="1"/>
        <v>03:30</v>
      </c>
      <c r="L49" s="189" t="s">
        <v>269</v>
      </c>
      <c r="M49" s="92"/>
    </row>
    <row r="50" spans="1:13" ht="40.5">
      <c r="A50" s="70">
        <v>28</v>
      </c>
      <c r="B50" s="114" t="s">
        <v>31</v>
      </c>
      <c r="C50" s="75" t="s">
        <v>250</v>
      </c>
      <c r="D50" s="75" t="s">
        <v>48</v>
      </c>
      <c r="E50" s="73" t="s">
        <v>172</v>
      </c>
      <c r="F50" s="72" t="s">
        <v>27</v>
      </c>
      <c r="G50" s="73" t="s">
        <v>31</v>
      </c>
      <c r="H50" s="78" t="s">
        <v>177</v>
      </c>
      <c r="I50" s="71">
        <v>44208.458333333336</v>
      </c>
      <c r="J50" s="71">
        <v>44208.479166666664</v>
      </c>
      <c r="K50" s="32" t="str">
        <f t="shared" si="1"/>
        <v>00:30</v>
      </c>
      <c r="L50" s="189" t="s">
        <v>269</v>
      </c>
      <c r="M50" s="92"/>
    </row>
    <row r="51" spans="1:13" ht="54">
      <c r="A51" s="70">
        <v>29</v>
      </c>
      <c r="B51" s="114" t="s">
        <v>31</v>
      </c>
      <c r="C51" s="75" t="s">
        <v>251</v>
      </c>
      <c r="D51" s="73" t="s">
        <v>65</v>
      </c>
      <c r="E51" s="72" t="s">
        <v>27</v>
      </c>
      <c r="F51" s="72" t="s">
        <v>27</v>
      </c>
      <c r="G51" s="74" t="s">
        <v>31</v>
      </c>
      <c r="H51" s="73" t="s">
        <v>67</v>
      </c>
      <c r="I51" s="71">
        <v>44209.395833333336</v>
      </c>
      <c r="J51" s="71">
        <v>44209.541666666664</v>
      </c>
      <c r="K51" s="32" t="str">
        <f t="shared" si="1"/>
        <v>03:30</v>
      </c>
      <c r="L51" s="189" t="s">
        <v>269</v>
      </c>
      <c r="M51" s="92"/>
    </row>
    <row r="52" spans="1:13" ht="54">
      <c r="A52" s="70">
        <v>30</v>
      </c>
      <c r="B52" s="114" t="s">
        <v>31</v>
      </c>
      <c r="C52" s="75" t="s">
        <v>252</v>
      </c>
      <c r="D52" s="73" t="s">
        <v>65</v>
      </c>
      <c r="E52" s="72" t="s">
        <v>27</v>
      </c>
      <c r="F52" s="72" t="s">
        <v>27</v>
      </c>
      <c r="G52" s="74" t="s">
        <v>31</v>
      </c>
      <c r="H52" s="73" t="s">
        <v>68</v>
      </c>
      <c r="I52" s="71">
        <v>44209.583333333336</v>
      </c>
      <c r="J52" s="71">
        <v>44209.729166666664</v>
      </c>
      <c r="K52" s="32" t="str">
        <f t="shared" si="1"/>
        <v>03:30</v>
      </c>
      <c r="L52" s="189" t="s">
        <v>269</v>
      </c>
      <c r="M52" s="92"/>
    </row>
    <row r="53" spans="1:13" ht="54">
      <c r="A53" s="70">
        <v>31</v>
      </c>
      <c r="B53" s="114" t="s">
        <v>31</v>
      </c>
      <c r="C53" s="79" t="s">
        <v>253</v>
      </c>
      <c r="D53" s="73" t="s">
        <v>40</v>
      </c>
      <c r="E53" s="72" t="s">
        <v>27</v>
      </c>
      <c r="F53" s="72" t="s">
        <v>27</v>
      </c>
      <c r="G53" s="74" t="s">
        <v>31</v>
      </c>
      <c r="H53" s="73" t="s">
        <v>176</v>
      </c>
      <c r="I53" s="71">
        <v>44211.4375</v>
      </c>
      <c r="J53" s="71">
        <v>44211.479166666664</v>
      </c>
      <c r="K53" s="32" t="str">
        <f t="shared" si="1"/>
        <v>01:00</v>
      </c>
      <c r="L53" s="189" t="s">
        <v>269</v>
      </c>
      <c r="M53" s="92"/>
    </row>
    <row r="54" spans="1:13" ht="40.5">
      <c r="A54" s="70">
        <v>32</v>
      </c>
      <c r="B54" s="115" t="s">
        <v>31</v>
      </c>
      <c r="C54" s="77" t="s">
        <v>254</v>
      </c>
      <c r="D54" s="76" t="s">
        <v>63</v>
      </c>
      <c r="E54" s="77" t="s">
        <v>178</v>
      </c>
      <c r="F54" s="72" t="s">
        <v>27</v>
      </c>
      <c r="G54" s="76" t="s">
        <v>31</v>
      </c>
      <c r="H54" s="77" t="s">
        <v>179</v>
      </c>
      <c r="I54" s="71">
        <v>44214.458333333336</v>
      </c>
      <c r="J54" s="71">
        <v>44214.5</v>
      </c>
      <c r="K54" s="32" t="str">
        <f t="shared" si="1"/>
        <v>01:00</v>
      </c>
      <c r="L54" s="189" t="s">
        <v>269</v>
      </c>
      <c r="M54" s="92"/>
    </row>
    <row r="55" spans="1:13" ht="27">
      <c r="A55" s="70">
        <v>33</v>
      </c>
      <c r="B55" s="115" t="s">
        <v>31</v>
      </c>
      <c r="C55" s="77" t="s">
        <v>255</v>
      </c>
      <c r="D55" s="73" t="s">
        <v>63</v>
      </c>
      <c r="E55" s="73" t="s">
        <v>60</v>
      </c>
      <c r="F55" s="72" t="s">
        <v>27</v>
      </c>
      <c r="G55" s="73" t="s">
        <v>31</v>
      </c>
      <c r="H55" s="77" t="s">
        <v>179</v>
      </c>
      <c r="I55" s="71">
        <v>44214.458333333336</v>
      </c>
      <c r="J55" s="71">
        <v>44214.5</v>
      </c>
      <c r="K55" s="32" t="str">
        <f t="shared" si="1"/>
        <v>01:00</v>
      </c>
      <c r="L55" s="189" t="s">
        <v>269</v>
      </c>
      <c r="M55" s="92"/>
    </row>
    <row r="56" spans="1:13" ht="27">
      <c r="A56" s="70">
        <v>34</v>
      </c>
      <c r="B56" s="115" t="s">
        <v>31</v>
      </c>
      <c r="C56" s="73" t="s">
        <v>256</v>
      </c>
      <c r="D56" s="73" t="s">
        <v>63</v>
      </c>
      <c r="E56" s="73" t="s">
        <v>60</v>
      </c>
      <c r="F56" s="72" t="s">
        <v>27</v>
      </c>
      <c r="G56" s="73" t="s">
        <v>31</v>
      </c>
      <c r="H56" s="77" t="s">
        <v>179</v>
      </c>
      <c r="I56" s="71">
        <v>44214.458333333336</v>
      </c>
      <c r="J56" s="71">
        <v>44214.5</v>
      </c>
      <c r="K56" s="32" t="str">
        <f t="shared" si="1"/>
        <v>01:00</v>
      </c>
      <c r="L56" s="189" t="s">
        <v>269</v>
      </c>
      <c r="M56" s="92"/>
    </row>
    <row r="57" spans="1:13" ht="27">
      <c r="A57" s="70">
        <v>35</v>
      </c>
      <c r="B57" s="114" t="s">
        <v>31</v>
      </c>
      <c r="C57" s="73" t="s">
        <v>257</v>
      </c>
      <c r="D57" s="73" t="s">
        <v>63</v>
      </c>
      <c r="E57" s="73" t="s">
        <v>172</v>
      </c>
      <c r="F57" s="72" t="s">
        <v>27</v>
      </c>
      <c r="G57" s="73" t="s">
        <v>31</v>
      </c>
      <c r="H57" s="77" t="s">
        <v>179</v>
      </c>
      <c r="I57" s="71">
        <v>44214.458333333336</v>
      </c>
      <c r="J57" s="71">
        <v>44214.5</v>
      </c>
      <c r="K57" s="32" t="str">
        <f t="shared" si="1"/>
        <v>01:00</v>
      </c>
      <c r="L57" s="189" t="s">
        <v>269</v>
      </c>
      <c r="M57" s="92"/>
    </row>
    <row r="58" spans="1:13" ht="54">
      <c r="A58" s="70">
        <v>36</v>
      </c>
      <c r="B58" s="114" t="s">
        <v>31</v>
      </c>
      <c r="C58" s="73" t="s">
        <v>258</v>
      </c>
      <c r="D58" s="73" t="s">
        <v>39</v>
      </c>
      <c r="E58" s="73" t="s">
        <v>143</v>
      </c>
      <c r="F58" s="72" t="s">
        <v>27</v>
      </c>
      <c r="G58" s="73" t="s">
        <v>31</v>
      </c>
      <c r="H58" s="73" t="s">
        <v>68</v>
      </c>
      <c r="I58" s="71">
        <v>44216.395833333336</v>
      </c>
      <c r="J58" s="71">
        <v>44216.541666666664</v>
      </c>
      <c r="K58" s="32" t="str">
        <f t="shared" si="1"/>
        <v>03:30</v>
      </c>
      <c r="L58" s="189" t="s">
        <v>269</v>
      </c>
      <c r="M58" s="92"/>
    </row>
    <row r="59" spans="1:13" ht="54">
      <c r="A59" s="70">
        <v>37</v>
      </c>
      <c r="B59" s="114" t="s">
        <v>31</v>
      </c>
      <c r="C59" s="73" t="s">
        <v>259</v>
      </c>
      <c r="D59" s="73" t="s">
        <v>39</v>
      </c>
      <c r="E59" s="73" t="s">
        <v>143</v>
      </c>
      <c r="F59" s="72" t="s">
        <v>27</v>
      </c>
      <c r="G59" s="73" t="s">
        <v>31</v>
      </c>
      <c r="H59" s="73" t="s">
        <v>68</v>
      </c>
      <c r="I59" s="71">
        <v>44216.583333333336</v>
      </c>
      <c r="J59" s="71">
        <v>44216.729166666664</v>
      </c>
      <c r="K59" s="32" t="str">
        <f t="shared" si="1"/>
        <v>03:30</v>
      </c>
      <c r="L59" s="189" t="s">
        <v>269</v>
      </c>
      <c r="M59" s="92"/>
    </row>
    <row r="60" spans="1:13" ht="82.5">
      <c r="A60" s="70">
        <v>38</v>
      </c>
      <c r="B60" s="141" t="s">
        <v>31</v>
      </c>
      <c r="C60" s="142" t="s">
        <v>260</v>
      </c>
      <c r="D60" s="142" t="s">
        <v>180</v>
      </c>
      <c r="E60" s="142" t="s">
        <v>181</v>
      </c>
      <c r="F60" s="136" t="s">
        <v>27</v>
      </c>
      <c r="G60" s="137" t="s">
        <v>31</v>
      </c>
      <c r="H60" s="143" t="s">
        <v>182</v>
      </c>
      <c r="I60" s="138">
        <v>44217.354166666664</v>
      </c>
      <c r="J60" s="138">
        <v>44217.708333333336</v>
      </c>
      <c r="K60" s="133" t="str">
        <f t="shared" si="1"/>
        <v>08:30</v>
      </c>
      <c r="L60" s="189" t="s">
        <v>269</v>
      </c>
      <c r="M60" s="92" t="s">
        <v>268</v>
      </c>
    </row>
    <row r="61" spans="1:13" ht="82.5">
      <c r="A61" s="70">
        <v>39</v>
      </c>
      <c r="B61" s="141" t="s">
        <v>31</v>
      </c>
      <c r="C61" s="135" t="s">
        <v>261</v>
      </c>
      <c r="D61" s="142" t="s">
        <v>180</v>
      </c>
      <c r="E61" s="142" t="s">
        <v>183</v>
      </c>
      <c r="F61" s="136" t="s">
        <v>27</v>
      </c>
      <c r="G61" s="137" t="s">
        <v>31</v>
      </c>
      <c r="H61" s="143" t="s">
        <v>182</v>
      </c>
      <c r="I61" s="138">
        <v>44217.354166666664</v>
      </c>
      <c r="J61" s="138">
        <v>44217.708333333336</v>
      </c>
      <c r="K61" s="133" t="str">
        <f t="shared" si="1"/>
        <v>08:30</v>
      </c>
      <c r="L61" s="189" t="s">
        <v>269</v>
      </c>
      <c r="M61" s="92" t="s">
        <v>268</v>
      </c>
    </row>
    <row r="62" spans="1:13" ht="82.5">
      <c r="A62" s="70">
        <v>40</v>
      </c>
      <c r="B62" s="141" t="s">
        <v>31</v>
      </c>
      <c r="C62" s="135" t="s">
        <v>237</v>
      </c>
      <c r="D62" s="142" t="s">
        <v>180</v>
      </c>
      <c r="E62" s="136" t="s">
        <v>27</v>
      </c>
      <c r="F62" s="136" t="s">
        <v>27</v>
      </c>
      <c r="G62" s="137" t="s">
        <v>31</v>
      </c>
      <c r="H62" s="143" t="s">
        <v>182</v>
      </c>
      <c r="I62" s="138">
        <v>44217.354166666664</v>
      </c>
      <c r="J62" s="138">
        <v>44217.708333333336</v>
      </c>
      <c r="K62" s="133" t="str">
        <f t="shared" si="1"/>
        <v>08:30</v>
      </c>
      <c r="L62" s="189" t="s">
        <v>269</v>
      </c>
      <c r="M62" s="92" t="s">
        <v>268</v>
      </c>
    </row>
    <row r="63" spans="1:13" ht="82.5">
      <c r="A63" s="70">
        <v>41</v>
      </c>
      <c r="B63" s="141" t="s">
        <v>31</v>
      </c>
      <c r="C63" s="135" t="s">
        <v>239</v>
      </c>
      <c r="D63" s="142" t="s">
        <v>180</v>
      </c>
      <c r="E63" s="136" t="s">
        <v>27</v>
      </c>
      <c r="F63" s="136" t="s">
        <v>27</v>
      </c>
      <c r="G63" s="137" t="s">
        <v>31</v>
      </c>
      <c r="H63" s="143" t="s">
        <v>182</v>
      </c>
      <c r="I63" s="138">
        <v>44217.354166666664</v>
      </c>
      <c r="J63" s="138">
        <v>44217.708333333336</v>
      </c>
      <c r="K63" s="133" t="str">
        <f t="shared" si="1"/>
        <v>08:30</v>
      </c>
      <c r="L63" s="189" t="s">
        <v>269</v>
      </c>
      <c r="M63" s="92" t="s">
        <v>268</v>
      </c>
    </row>
    <row r="64" spans="1:13" ht="82.5">
      <c r="A64" s="70">
        <v>42</v>
      </c>
      <c r="B64" s="141" t="s">
        <v>31</v>
      </c>
      <c r="C64" s="142" t="s">
        <v>262</v>
      </c>
      <c r="D64" s="142" t="s">
        <v>180</v>
      </c>
      <c r="E64" s="142" t="s">
        <v>151</v>
      </c>
      <c r="F64" s="136" t="s">
        <v>27</v>
      </c>
      <c r="G64" s="137" t="s">
        <v>31</v>
      </c>
      <c r="H64" s="143" t="s">
        <v>182</v>
      </c>
      <c r="I64" s="138">
        <v>44217.354166666664</v>
      </c>
      <c r="J64" s="138">
        <v>44217.708333333336</v>
      </c>
      <c r="K64" s="133" t="str">
        <f t="shared" si="1"/>
        <v>08:30</v>
      </c>
      <c r="L64" s="189" t="s">
        <v>269</v>
      </c>
      <c r="M64" s="92" t="s">
        <v>268</v>
      </c>
    </row>
    <row r="65" spans="1:13" ht="40.5">
      <c r="A65" s="70">
        <v>43</v>
      </c>
      <c r="B65" s="114" t="s">
        <v>31</v>
      </c>
      <c r="C65" s="79" t="s">
        <v>263</v>
      </c>
      <c r="D65" s="73" t="s">
        <v>40</v>
      </c>
      <c r="E65" s="72" t="s">
        <v>27</v>
      </c>
      <c r="F65" s="72" t="s">
        <v>27</v>
      </c>
      <c r="G65" s="74" t="s">
        <v>31</v>
      </c>
      <c r="H65" s="73" t="s">
        <v>176</v>
      </c>
      <c r="I65" s="71">
        <v>44218.4375</v>
      </c>
      <c r="J65" s="71">
        <v>44218.479166666664</v>
      </c>
      <c r="K65" s="32" t="str">
        <f t="shared" si="1"/>
        <v>01:00</v>
      </c>
      <c r="L65" s="189" t="s">
        <v>269</v>
      </c>
      <c r="M65" s="92"/>
    </row>
    <row r="66" spans="1:13" ht="54">
      <c r="A66" s="70">
        <v>44</v>
      </c>
      <c r="B66" s="114" t="s">
        <v>31</v>
      </c>
      <c r="C66" s="75" t="s">
        <v>264</v>
      </c>
      <c r="D66" s="75" t="s">
        <v>62</v>
      </c>
      <c r="E66" s="72" t="s">
        <v>27</v>
      </c>
      <c r="F66" s="72" t="s">
        <v>27</v>
      </c>
      <c r="G66" s="74" t="s">
        <v>31</v>
      </c>
      <c r="H66" s="73" t="s">
        <v>176</v>
      </c>
      <c r="I66" s="71">
        <v>44221.458333333336</v>
      </c>
      <c r="J66" s="71">
        <v>44221.479166666664</v>
      </c>
      <c r="K66" s="32" t="str">
        <f t="shared" si="1"/>
        <v>00:30</v>
      </c>
      <c r="L66" s="189" t="s">
        <v>269</v>
      </c>
      <c r="M66" s="92"/>
    </row>
    <row r="67" spans="1:13" ht="82.5">
      <c r="A67" s="70">
        <v>45</v>
      </c>
      <c r="B67" s="186" t="s">
        <v>31</v>
      </c>
      <c r="C67" s="142" t="s">
        <v>265</v>
      </c>
      <c r="D67" s="142" t="s">
        <v>39</v>
      </c>
      <c r="E67" s="136" t="s">
        <v>27</v>
      </c>
      <c r="F67" s="136" t="s">
        <v>27</v>
      </c>
      <c r="G67" s="187" t="s">
        <v>31</v>
      </c>
      <c r="H67" s="135" t="s">
        <v>176</v>
      </c>
      <c r="I67" s="138">
        <v>44223.4375</v>
      </c>
      <c r="J67" s="138">
        <v>44223.6875</v>
      </c>
      <c r="K67" s="133" t="str">
        <f t="shared" si="1"/>
        <v>06:00</v>
      </c>
      <c r="L67" s="189" t="s">
        <v>269</v>
      </c>
      <c r="M67" s="92" t="s">
        <v>268</v>
      </c>
    </row>
    <row r="68" spans="1:13" ht="82.5">
      <c r="A68" s="70">
        <v>46</v>
      </c>
      <c r="B68" s="186" t="s">
        <v>31</v>
      </c>
      <c r="C68" s="142" t="s">
        <v>266</v>
      </c>
      <c r="D68" s="142" t="s">
        <v>39</v>
      </c>
      <c r="E68" s="136" t="s">
        <v>27</v>
      </c>
      <c r="F68" s="136" t="s">
        <v>27</v>
      </c>
      <c r="G68" s="187" t="s">
        <v>31</v>
      </c>
      <c r="H68" s="135" t="s">
        <v>176</v>
      </c>
      <c r="I68" s="138">
        <v>44224.4375</v>
      </c>
      <c r="J68" s="138">
        <v>44224.6875</v>
      </c>
      <c r="K68" s="133" t="str">
        <f t="shared" si="1"/>
        <v>06:00</v>
      </c>
      <c r="L68" s="189" t="s">
        <v>269</v>
      </c>
      <c r="M68" s="92" t="s">
        <v>268</v>
      </c>
    </row>
    <row r="69" spans="1:13" ht="82.5">
      <c r="A69" s="70">
        <v>47</v>
      </c>
      <c r="B69" s="186" t="s">
        <v>31</v>
      </c>
      <c r="C69" s="142" t="s">
        <v>267</v>
      </c>
      <c r="D69" s="142" t="s">
        <v>39</v>
      </c>
      <c r="E69" s="136" t="s">
        <v>27</v>
      </c>
      <c r="F69" s="136" t="s">
        <v>27</v>
      </c>
      <c r="G69" s="187" t="s">
        <v>31</v>
      </c>
      <c r="H69" s="135" t="s">
        <v>176</v>
      </c>
      <c r="I69" s="138">
        <v>44225.4375</v>
      </c>
      <c r="J69" s="138">
        <v>44225.6875</v>
      </c>
      <c r="K69" s="133" t="str">
        <f t="shared" si="1"/>
        <v>06:00</v>
      </c>
      <c r="L69" s="189" t="s">
        <v>269</v>
      </c>
      <c r="M69" s="92" t="s">
        <v>268</v>
      </c>
    </row>
    <row r="70" spans="1:13">
      <c r="A70" s="57"/>
      <c r="B70" s="116"/>
      <c r="C70" s="58"/>
      <c r="D70" s="59"/>
      <c r="E70" s="59"/>
      <c r="F70" s="59"/>
      <c r="G70" s="59"/>
      <c r="H70" s="58"/>
      <c r="I70" s="60"/>
      <c r="J70" s="60"/>
      <c r="K70" s="125"/>
      <c r="L70" s="190"/>
      <c r="M70" s="93"/>
    </row>
    <row r="71" spans="1:13">
      <c r="A71" s="45"/>
      <c r="B71" s="117"/>
      <c r="C71" s="38"/>
      <c r="D71" s="38"/>
      <c r="E71" s="38"/>
      <c r="F71" s="38"/>
      <c r="G71" s="45"/>
      <c r="H71" s="38"/>
      <c r="I71" s="41"/>
      <c r="J71" s="41"/>
      <c r="K71" s="32"/>
      <c r="L71" s="16"/>
      <c r="M71" s="55"/>
    </row>
    <row r="72" spans="1:13" ht="23.25">
      <c r="A72" s="45"/>
      <c r="B72" s="110" t="s">
        <v>32</v>
      </c>
      <c r="C72" s="38"/>
      <c r="D72" s="38"/>
      <c r="E72" s="38"/>
      <c r="F72" s="38"/>
      <c r="G72" s="45"/>
      <c r="H72" s="38"/>
      <c r="I72" s="41"/>
      <c r="J72" s="41"/>
      <c r="K72" s="32"/>
      <c r="L72" s="16"/>
      <c r="M72" s="55"/>
    </row>
    <row r="73" spans="1:13">
      <c r="A73" s="145">
        <v>1</v>
      </c>
      <c r="B73" s="183" t="s">
        <v>32</v>
      </c>
      <c r="C73" s="148" t="s">
        <v>195</v>
      </c>
      <c r="D73" s="148" t="s">
        <v>196</v>
      </c>
      <c r="E73" s="148" t="s">
        <v>197</v>
      </c>
      <c r="F73" s="148" t="s">
        <v>59</v>
      </c>
      <c r="G73" s="148" t="s">
        <v>32</v>
      </c>
      <c r="H73" s="148" t="s">
        <v>192</v>
      </c>
      <c r="I73" s="180">
        <v>44216.416666666664</v>
      </c>
      <c r="J73" s="180">
        <v>44216.583333333336</v>
      </c>
      <c r="K73" s="173" t="str">
        <f>TEXT(J73-I73,"[hh]:mm")</f>
        <v>04:00</v>
      </c>
      <c r="L73" s="176" t="s">
        <v>269</v>
      </c>
      <c r="M73" s="177" t="s">
        <v>198</v>
      </c>
    </row>
    <row r="74" spans="1:13">
      <c r="A74" s="146"/>
      <c r="B74" s="184"/>
      <c r="C74" s="149"/>
      <c r="D74" s="149"/>
      <c r="E74" s="149"/>
      <c r="F74" s="149"/>
      <c r="G74" s="149"/>
      <c r="H74" s="149"/>
      <c r="I74" s="181"/>
      <c r="J74" s="181"/>
      <c r="K74" s="174"/>
      <c r="L74" s="158"/>
      <c r="M74" s="178"/>
    </row>
    <row r="75" spans="1:13" ht="15" customHeight="1">
      <c r="A75" s="146"/>
      <c r="B75" s="184"/>
      <c r="C75" s="149"/>
      <c r="D75" s="149"/>
      <c r="E75" s="149"/>
      <c r="F75" s="149"/>
      <c r="G75" s="149"/>
      <c r="H75" s="149"/>
      <c r="I75" s="181"/>
      <c r="J75" s="181"/>
      <c r="K75" s="174"/>
      <c r="L75" s="158"/>
      <c r="M75" s="178"/>
    </row>
    <row r="76" spans="1:13">
      <c r="A76" s="147"/>
      <c r="B76" s="185"/>
      <c r="C76" s="150"/>
      <c r="D76" s="150"/>
      <c r="E76" s="150"/>
      <c r="F76" s="150"/>
      <c r="G76" s="150"/>
      <c r="H76" s="150"/>
      <c r="I76" s="182"/>
      <c r="J76" s="182"/>
      <c r="K76" s="175"/>
      <c r="L76" s="159"/>
      <c r="M76" s="179"/>
    </row>
    <row r="77" spans="1:13">
      <c r="A77" s="145">
        <v>2</v>
      </c>
      <c r="B77" s="183" t="s">
        <v>32</v>
      </c>
      <c r="C77" s="148" t="s">
        <v>199</v>
      </c>
      <c r="D77" s="148" t="s">
        <v>197</v>
      </c>
      <c r="E77" s="148" t="s">
        <v>196</v>
      </c>
      <c r="F77" s="148" t="s">
        <v>59</v>
      </c>
      <c r="G77" s="148" t="s">
        <v>32</v>
      </c>
      <c r="H77" s="148" t="s">
        <v>192</v>
      </c>
      <c r="I77" s="180">
        <v>44216.416666666664</v>
      </c>
      <c r="J77" s="180">
        <v>44216.583333333336</v>
      </c>
      <c r="K77" s="173" t="str">
        <f>TEXT(J77-I77,"[hh]:mm")</f>
        <v>04:00</v>
      </c>
      <c r="L77" s="176" t="s">
        <v>269</v>
      </c>
      <c r="M77" s="177" t="s">
        <v>200</v>
      </c>
    </row>
    <row r="78" spans="1:13">
      <c r="A78" s="146"/>
      <c r="B78" s="184"/>
      <c r="C78" s="149"/>
      <c r="D78" s="149"/>
      <c r="E78" s="149"/>
      <c r="F78" s="149"/>
      <c r="G78" s="149"/>
      <c r="H78" s="149"/>
      <c r="I78" s="181"/>
      <c r="J78" s="181"/>
      <c r="K78" s="174"/>
      <c r="L78" s="158"/>
      <c r="M78" s="178"/>
    </row>
    <row r="79" spans="1:13">
      <c r="A79" s="146"/>
      <c r="B79" s="184"/>
      <c r="C79" s="149"/>
      <c r="D79" s="149"/>
      <c r="E79" s="149"/>
      <c r="F79" s="149"/>
      <c r="G79" s="149"/>
      <c r="H79" s="149"/>
      <c r="I79" s="181"/>
      <c r="J79" s="181"/>
      <c r="K79" s="174"/>
      <c r="L79" s="158"/>
      <c r="M79" s="178"/>
    </row>
    <row r="80" spans="1:13">
      <c r="A80" s="147"/>
      <c r="B80" s="185"/>
      <c r="C80" s="150"/>
      <c r="D80" s="150"/>
      <c r="E80" s="150"/>
      <c r="F80" s="150"/>
      <c r="G80" s="150"/>
      <c r="H80" s="150"/>
      <c r="I80" s="182"/>
      <c r="J80" s="182"/>
      <c r="K80" s="175"/>
      <c r="L80" s="159"/>
      <c r="M80" s="179"/>
    </row>
    <row r="81" spans="1:13">
      <c r="A81" s="45"/>
      <c r="B81" s="117"/>
      <c r="C81" s="38"/>
      <c r="D81" s="38"/>
      <c r="E81" s="38"/>
      <c r="F81" s="38"/>
      <c r="G81" s="45"/>
      <c r="H81" s="38"/>
      <c r="I81" s="41"/>
      <c r="J81" s="41"/>
      <c r="K81" s="32"/>
      <c r="L81" s="16"/>
      <c r="M81" s="55"/>
    </row>
    <row r="82" spans="1:13" ht="23.25">
      <c r="A82" s="45"/>
      <c r="B82" s="110" t="s">
        <v>33</v>
      </c>
      <c r="C82" s="38" t="s">
        <v>27</v>
      </c>
      <c r="D82" s="38"/>
      <c r="E82" s="38"/>
      <c r="F82" s="38"/>
      <c r="G82" s="45"/>
      <c r="H82" s="38"/>
      <c r="I82" s="41"/>
      <c r="J82" s="41"/>
      <c r="K82" s="32"/>
      <c r="L82" s="16"/>
      <c r="M82" s="55"/>
    </row>
    <row r="83" spans="1:13">
      <c r="A83" s="52"/>
      <c r="B83" s="118"/>
      <c r="C83" s="54"/>
      <c r="D83" s="53"/>
      <c r="E83" s="54"/>
      <c r="F83" s="54"/>
      <c r="G83" s="52"/>
      <c r="H83" s="29"/>
      <c r="I83" s="15"/>
      <c r="J83" s="15"/>
      <c r="K83" s="32"/>
      <c r="L83" s="16"/>
      <c r="M83" s="55"/>
    </row>
    <row r="84" spans="1:13" ht="23.25">
      <c r="A84" s="52"/>
      <c r="B84" s="119" t="s">
        <v>47</v>
      </c>
      <c r="C84" s="54"/>
      <c r="D84" s="53"/>
      <c r="E84" s="54"/>
      <c r="F84" s="54"/>
      <c r="G84" s="52"/>
      <c r="H84" s="29"/>
      <c r="I84" s="15"/>
      <c r="J84" s="15"/>
      <c r="K84" s="32"/>
      <c r="L84" s="16"/>
      <c r="M84" s="55"/>
    </row>
    <row r="85" spans="1:13" ht="60">
      <c r="A85" s="13">
        <v>1</v>
      </c>
      <c r="B85" s="91" t="s">
        <v>126</v>
      </c>
      <c r="C85" s="30" t="s">
        <v>138</v>
      </c>
      <c r="D85" s="30" t="s">
        <v>128</v>
      </c>
      <c r="E85" s="30" t="s">
        <v>126</v>
      </c>
      <c r="F85" s="67" t="s">
        <v>139</v>
      </c>
      <c r="G85" s="29" t="s">
        <v>126</v>
      </c>
      <c r="H85" s="120" t="s">
        <v>131</v>
      </c>
      <c r="I85" s="121">
        <v>44203.416666666664</v>
      </c>
      <c r="J85" s="121">
        <v>44203.541666666664</v>
      </c>
      <c r="K85" s="126" t="str">
        <f>TEXT(J85-I85,"[hh]:mm")</f>
        <v>03:00</v>
      </c>
      <c r="L85" s="16" t="s">
        <v>269</v>
      </c>
      <c r="M85" s="91" t="s">
        <v>140</v>
      </c>
    </row>
    <row r="86" spans="1:13" ht="60">
      <c r="A86" s="13">
        <v>2</v>
      </c>
      <c r="B86" s="91" t="s">
        <v>126</v>
      </c>
      <c r="C86" s="30" t="s">
        <v>138</v>
      </c>
      <c r="D86" s="30" t="s">
        <v>134</v>
      </c>
      <c r="E86" s="30" t="s">
        <v>126</v>
      </c>
      <c r="F86" s="67" t="s">
        <v>139</v>
      </c>
      <c r="G86" s="29" t="s">
        <v>126</v>
      </c>
      <c r="H86" s="39" t="s">
        <v>141</v>
      </c>
      <c r="I86" s="41">
        <v>44224.416666666664</v>
      </c>
      <c r="J86" s="41">
        <v>44224.541666666664</v>
      </c>
      <c r="K86" s="42" t="str">
        <f>TEXT(J86-I86,"[hh]:mm")</f>
        <v>03:00</v>
      </c>
      <c r="L86" s="16" t="s">
        <v>269</v>
      </c>
      <c r="M86" s="91" t="s">
        <v>142</v>
      </c>
    </row>
  </sheetData>
  <sortState ref="B21:M62">
    <sortCondition ref="D21:D62"/>
  </sortState>
  <mergeCells count="31">
    <mergeCell ref="A1:M1"/>
    <mergeCell ref="A2:M2"/>
    <mergeCell ref="A3:M3"/>
    <mergeCell ref="A77:A80"/>
    <mergeCell ref="B77:B80"/>
    <mergeCell ref="C77:C80"/>
    <mergeCell ref="D77:D80"/>
    <mergeCell ref="E77:E80"/>
    <mergeCell ref="F77:F80"/>
    <mergeCell ref="G77:G80"/>
    <mergeCell ref="H77:H80"/>
    <mergeCell ref="I77:I80"/>
    <mergeCell ref="J77:J80"/>
    <mergeCell ref="K77:K80"/>
    <mergeCell ref="L77:L80"/>
    <mergeCell ref="M77:M80"/>
    <mergeCell ref="A73:A76"/>
    <mergeCell ref="B73:B76"/>
    <mergeCell ref="C73:C76"/>
    <mergeCell ref="D73:D76"/>
    <mergeCell ref="E73:E76"/>
    <mergeCell ref="F73:F76"/>
    <mergeCell ref="G73:G76"/>
    <mergeCell ref="H73:H76"/>
    <mergeCell ref="I73:I76"/>
    <mergeCell ref="J73:J76"/>
    <mergeCell ref="I11:J11"/>
    <mergeCell ref="I12:J12"/>
    <mergeCell ref="K73:K76"/>
    <mergeCell ref="L73:L76"/>
    <mergeCell ref="M73:M76"/>
  </mergeCells>
  <pageMargins left="0.7" right="0.7" top="0.75" bottom="0.75" header="0.3" footer="0.3"/>
  <pageSetup paperSize="9" scale="47" orientation="landscape" r:id="rId1"/>
  <headerFooter>
    <oddHeader>&amp;LFormat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Links - COA 1</vt:lpstr>
      <vt:lpstr>Equipment - COA 2</vt:lpstr>
      <vt:lpstr>'Links - COA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2020-12-30T09:12:13Z</dcterms:modified>
</cp:coreProperties>
</file>