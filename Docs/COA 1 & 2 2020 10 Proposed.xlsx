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Links - COA 1" sheetId="1" r:id="rId1"/>
    <sheet name="Equipment - COA 2" sheetId="4" r:id="rId2"/>
  </sheets>
  <definedNames>
    <definedName name="_xlnm.Print_Area" localSheetId="1">'Equipment - COA 2'!$A$1:$M$47</definedName>
    <definedName name="_xlnm.Print_Area" localSheetId="0">'Links - COA 1'!$A$1:$M$23</definedName>
  </definedNames>
  <calcPr calcId="124519"/>
</workbook>
</file>

<file path=xl/calcChain.xml><?xml version="1.0" encoding="utf-8"?>
<calcChain xmlns="http://schemas.openxmlformats.org/spreadsheetml/2006/main">
  <c r="K45" i="4"/>
  <c r="K44"/>
  <c r="K35"/>
  <c r="K43"/>
  <c r="K42"/>
  <c r="K41"/>
  <c r="K40"/>
  <c r="K39"/>
  <c r="K38"/>
  <c r="K37"/>
  <c r="K36"/>
  <c r="K34"/>
  <c r="K33"/>
  <c r="K32"/>
  <c r="K31"/>
  <c r="K30"/>
  <c r="K21" i="1"/>
  <c r="K19" i="4" l="1"/>
  <c r="K18"/>
  <c r="K17"/>
  <c r="K16"/>
  <c r="K15"/>
  <c r="K14"/>
  <c r="K13"/>
  <c r="K12"/>
  <c r="K11"/>
  <c r="K10" i="1"/>
  <c r="A3" i="4" l="1"/>
  <c r="K51"/>
  <c r="K50"/>
  <c r="K49"/>
  <c r="K48"/>
  <c r="K27"/>
  <c r="K25"/>
  <c r="K23"/>
  <c r="K21"/>
  <c r="M5"/>
  <c r="M4"/>
  <c r="K27" i="1"/>
  <c r="K26"/>
  <c r="K25"/>
  <c r="K24"/>
  <c r="K18"/>
  <c r="K16"/>
  <c r="K14"/>
  <c r="K12"/>
  <c r="K8" i="4"/>
  <c r="K8" i="1"/>
</calcChain>
</file>

<file path=xl/comments1.xml><?xml version="1.0" encoding="utf-8"?>
<comments xmlns="http://schemas.openxmlformats.org/spreadsheetml/2006/main">
  <authors>
    <author>Author</author>
  </authors>
  <commentList>
    <comment ref="C34" authorId="0">
      <text>
        <r>
          <rPr>
            <b/>
            <sz val="12"/>
            <color indexed="81"/>
            <rFont val="Tahoma"/>
            <family val="2"/>
          </rPr>
          <t>Charger spec not matching. To be applied charger wise separately.</t>
        </r>
      </text>
    </comment>
    <comment ref="C36" authorId="0">
      <text>
        <r>
          <rPr>
            <b/>
            <sz val="9"/>
            <color indexed="81"/>
            <rFont val="Tahoma"/>
            <family val="2"/>
          </rPr>
          <t>Charger and battery together ???
How ????</t>
        </r>
      </text>
    </comment>
  </commentList>
</comments>
</file>

<file path=xl/sharedStrings.xml><?xml version="1.0" encoding="utf-8"?>
<sst xmlns="http://schemas.openxmlformats.org/spreadsheetml/2006/main" count="200" uniqueCount="93">
  <si>
    <t xml:space="preserve">Communication VC Date : </t>
  </si>
  <si>
    <t>SL</t>
  </si>
  <si>
    <t>Name of Requesting Agency</t>
  </si>
  <si>
    <t>Source</t>
  </si>
  <si>
    <t>Destination</t>
  </si>
  <si>
    <t>RPC Remarks</t>
  </si>
  <si>
    <t>Approved ?  (Y/N)</t>
  </si>
  <si>
    <t>Total hours of outage proposed now</t>
  </si>
  <si>
    <t>A</t>
  </si>
  <si>
    <t>B</t>
  </si>
  <si>
    <t>Location of the Equipment / Name of Station</t>
  </si>
  <si>
    <t>Details of Communication Equipment, proposed :</t>
  </si>
  <si>
    <t xml:space="preserve">Channel Routing/Alternate channel status </t>
  </si>
  <si>
    <t xml:space="preserve">Ownership/Cordinating agencies </t>
  </si>
  <si>
    <t>Reason for availing outage 
&amp;
Precautions / actions being taken to ensure communication system availability</t>
  </si>
  <si>
    <t>Reason for availing outage and precautions / actions being taken to ensure communication system availability</t>
  </si>
  <si>
    <t>Name of the Channel / Path / directions, affected</t>
  </si>
  <si>
    <t>Annexure - COA2</t>
  </si>
  <si>
    <t>Annexure -COA1</t>
  </si>
  <si>
    <t>List of outages of Communication Links, proposed to avail during the month of</t>
  </si>
  <si>
    <t>Details of Communication Links (Point to Point), proposed :</t>
  </si>
  <si>
    <t>Description of Link</t>
  </si>
  <si>
    <t>Dated :</t>
  </si>
  <si>
    <t>List of outages of Communication Equipment proposed to avail during the month of</t>
  </si>
  <si>
    <t xml:space="preserve">Name of the communication equipment
</t>
  </si>
  <si>
    <t>Alternate Channel / Path available 
(Furnish details)</t>
  </si>
  <si>
    <t>Outage proposed from
dd/mmm/yy, [hh] : mm</t>
  </si>
  <si>
    <t>Outage proposed upto
dd/mmm/yy, [hh] : mm</t>
  </si>
  <si>
    <t>PGCIL SR 1</t>
  </si>
  <si>
    <t>NIL</t>
  </si>
  <si>
    <t>PGCIL SR 2</t>
  </si>
  <si>
    <t>APTRANSCO</t>
  </si>
  <si>
    <t>KPTCL</t>
  </si>
  <si>
    <t>KSEBL</t>
  </si>
  <si>
    <t>TANTRANSCO</t>
  </si>
  <si>
    <t>TSTRANSCO</t>
  </si>
  <si>
    <t>PED</t>
  </si>
  <si>
    <t xml:space="preserve"> Oct 2020</t>
  </si>
  <si>
    <t>Tejas SDH
TJ1400 STM16</t>
  </si>
  <si>
    <t>New Equipment Installation &amp; shifting  of old  equipment</t>
  </si>
  <si>
    <t>Sl No.78 in data Base</t>
  </si>
  <si>
    <t>Sl No.93 in data Base</t>
  </si>
  <si>
    <t>Sl No.96 in data Base</t>
  </si>
  <si>
    <t>Sl No.100 in data Base</t>
  </si>
  <si>
    <t>Sl No.103 in data Base</t>
  </si>
  <si>
    <t>Sl No.109 in data Base</t>
  </si>
  <si>
    <t>Sl No.112 in data Base</t>
  </si>
  <si>
    <t>Sl No.156 in data Base</t>
  </si>
  <si>
    <t>Sl No.185 in data Base</t>
  </si>
  <si>
    <t>Tuticorinn PS</t>
  </si>
  <si>
    <t>Udumalpet PG</t>
  </si>
  <si>
    <t>Madurai 400kV PG</t>
  </si>
  <si>
    <t>Kalivanthapattu PG</t>
  </si>
  <si>
    <t>Salem 400 kV PG</t>
  </si>
  <si>
    <t>Pugulur/KarurPGCIL</t>
  </si>
  <si>
    <t>Thiruvalam PG</t>
  </si>
  <si>
    <t xml:space="preserve">Trichur PG </t>
  </si>
  <si>
    <t>Tuticorin GIS</t>
  </si>
  <si>
    <t>Mamidipally-Dindi</t>
  </si>
  <si>
    <t>Mamidipally</t>
  </si>
  <si>
    <t>Dindi</t>
  </si>
  <si>
    <t xml:space="preserve">Traffic on Mamidipally-Dindi line                                                          (SPS Ramagundam-Kolar, SPS Gajwel- Kolar, SPSVeltoor-Kolar ),ICCP,PMU,Video Conference,and Voice channels between TS SLDC and SRLDC                                                                 Alternate path is configured for the above channels:via Mamidipally-Maheswaram-Mahabubnagar400 KV(TSTRANSCO)-Raichur 400 KV-through PGCIL NW-SRLDC                                      </t>
  </si>
  <si>
    <t>Supply, Erection, testing  and  Commissioning of                                                                        (i) 4 Nos. 400 KV Quad  bays at  400/220 KV Maheswaram SS, Rangaeddy district and (ii) LILO of both circuits of 400kV Mamidipally –Dindi TMDC line to 400KV Maheswaram SS (approx.4.5KM) on Multi Circuit Towers on Turnkey basis against specification No. e-EHVT-03/2018- 19.                                                                       --&gt; OPGW laying planned  from  existing Tower Location No. 341 to Maheswaram 400 KVSS (Mamidipally-Maheswaram line) and from  Tower Location No.330 to  Maheswaram 400KVSS (Maheswaram -Dindi line) .</t>
  </si>
  <si>
    <t>Link not listed in the COD 3, Data Base.
Channel Routing Diagram also does not show Dindi and Raichur.
TSTRANSCO may kindly update their COD 3 Data Base and Network Routing Diagram accordingly.</t>
  </si>
  <si>
    <t>400 kV Malkaram SS</t>
  </si>
  <si>
    <t>Periodical Maintenance Works</t>
  </si>
  <si>
    <t>Not found in the Data Base COD 3,4</t>
  </si>
  <si>
    <t>48V CHARGER-1, Make : calidyne Model : 100 A(1+1)</t>
  </si>
  <si>
    <t>BATTERY BANK - 1
Rating : 48V/400AH
 Make : EXIDE; Model : VRLA</t>
  </si>
  <si>
    <t>220 kV Ghanapur SS</t>
  </si>
  <si>
    <t xml:space="preserve">48V CHARGER-2, Make : DUBAS, Model : </t>
  </si>
  <si>
    <t>48 V DC BATTERY-2, Make : EXIDE, Model : VRLA</t>
  </si>
  <si>
    <t>Sl No. 15 in Data Base</t>
  </si>
  <si>
    <t>Sl No. 17 in Data Base</t>
  </si>
  <si>
    <t>48 V DC BATTERY-1, Make : AMARARAJA, Model : VRLA</t>
  </si>
  <si>
    <t xml:space="preserve">48 V DC BATTERY-2, Make : EXIDE, Model : </t>
  </si>
  <si>
    <t>400 kV Mamidipally SS</t>
  </si>
  <si>
    <r>
      <t xml:space="preserve">Periodical Maintenance Works
</t>
    </r>
    <r>
      <rPr>
        <sz val="11"/>
        <color rgb="FFFF0000"/>
        <rFont val="Calibri"/>
        <family val="2"/>
        <scheme val="minor"/>
      </rPr>
      <t>The Battery Charger will be switched off and existing loads will be on Battery Banks - 1 &amp; 2</t>
    </r>
  </si>
  <si>
    <t>Sl No. 22 in Data Base</t>
  </si>
  <si>
    <t>Sl No. 23 in Data Base</t>
  </si>
  <si>
    <r>
      <t xml:space="preserve">Sl No. 20 in Data Base
</t>
    </r>
    <r>
      <rPr>
        <sz val="11"/>
        <color rgb="FFFF0000"/>
        <rFont val="Calibri"/>
        <family val="2"/>
        <scheme val="minor"/>
      </rPr>
      <t>BATTERY CHARGER, Rating : 48V/100A, Make : AMARARAJA, Model : FCBC-1 &amp; FCBC-2
Not matching.</t>
    </r>
  </si>
  <si>
    <t>48V CHARGER-1, Make : ASCOM, Model : SMPS</t>
  </si>
  <si>
    <t>48V CHARGER-2, Make : ASCOM, Model : SMPS</t>
  </si>
  <si>
    <r>
      <t xml:space="preserve">Sl No. 21 in Data Base
</t>
    </r>
    <r>
      <rPr>
        <sz val="11"/>
        <color rgb="FFFF0000"/>
        <rFont val="Calibri"/>
        <family val="2"/>
        <scheme val="minor"/>
      </rPr>
      <t>BATTERY CHARGER, Rating : 48V/100A, Make : AMARARAJA, Model : FCBC-1 &amp; FCBC-2
Not matching.</t>
    </r>
  </si>
  <si>
    <t>400 kV Maheshwaram SS</t>
  </si>
  <si>
    <t xml:space="preserve">48V CHARGER-1, Make : AMARARAJA, Model : </t>
  </si>
  <si>
    <t xml:space="preserve">48V CHARGER-2, Make : AMARARAJA, Model : </t>
  </si>
  <si>
    <t>48 V DC BATTERY-2, Make : AMARARAJA, Model : VRLA</t>
  </si>
  <si>
    <t>Sl No. 25 in Data Base</t>
  </si>
  <si>
    <t>Sl No. 26 in Data Base</t>
  </si>
  <si>
    <t>Sl No. 27 in Data Base</t>
  </si>
  <si>
    <t>Sl No. 28 in Data Base</t>
  </si>
  <si>
    <t>400 kV Kethireddipally SS</t>
  </si>
</sst>
</file>

<file path=xl/styles.xml><?xml version="1.0" encoding="utf-8"?>
<styleSheet xmlns="http://schemas.openxmlformats.org/spreadsheetml/2006/main">
  <numFmts count="2">
    <numFmt numFmtId="164" formatCode="dd/mmm/yy\,\ hh:mm"/>
    <numFmt numFmtId="165" formatCode="dd/mmm/yyyy"/>
  </numFmts>
  <fonts count="12">
    <font>
      <sz val="11"/>
      <color theme="1"/>
      <name val="Calibri"/>
      <family val="2"/>
      <scheme val="minor"/>
    </font>
    <font>
      <b/>
      <sz val="11"/>
      <color theme="1"/>
      <name val="Calibri"/>
      <family val="2"/>
      <scheme val="minor"/>
    </font>
    <font>
      <b/>
      <sz val="10"/>
      <color theme="1"/>
      <name val="Times New Roman"/>
      <family val="1"/>
    </font>
    <font>
      <b/>
      <sz val="12"/>
      <color theme="1"/>
      <name val="Arial Narrow"/>
      <family val="2"/>
    </font>
    <font>
      <b/>
      <sz val="20"/>
      <color theme="1"/>
      <name val="Calibri"/>
      <family val="2"/>
      <scheme val="minor"/>
    </font>
    <font>
      <sz val="20"/>
      <color theme="1"/>
      <name val="Calibri"/>
      <family val="2"/>
      <scheme val="minor"/>
    </font>
    <font>
      <b/>
      <sz val="12"/>
      <color theme="1"/>
      <name val="Calibri"/>
      <family val="2"/>
      <scheme val="minor"/>
    </font>
    <font>
      <b/>
      <sz val="10"/>
      <name val="Arial Narrow"/>
      <family val="2"/>
    </font>
    <font>
      <b/>
      <sz val="12"/>
      <name val="Calibri"/>
      <family val="2"/>
      <scheme val="minor"/>
    </font>
    <font>
      <sz val="11"/>
      <color rgb="FFFF0000"/>
      <name val="Calibri"/>
      <family val="2"/>
      <scheme val="minor"/>
    </font>
    <font>
      <b/>
      <sz val="9"/>
      <color indexed="81"/>
      <name val="Tahoma"/>
      <family val="2"/>
    </font>
    <font>
      <b/>
      <sz val="12"/>
      <color indexed="81"/>
      <name val="Tahoma"/>
      <family val="2"/>
    </font>
  </fonts>
  <fills count="2">
    <fill>
      <patternFill patternType="none"/>
    </fill>
    <fill>
      <patternFill patternType="gray125"/>
    </fill>
  </fills>
  <borders count="4">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51">
    <xf numFmtId="0" fontId="0" fillId="0" borderId="0" xfId="0"/>
    <xf numFmtId="0" fontId="0" fillId="0" borderId="0" xfId="0" applyAlignment="1">
      <alignment vertical="center"/>
    </xf>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horizontal="center" vertical="center"/>
    </xf>
    <xf numFmtId="164" fontId="0" fillId="0" borderId="0" xfId="0" applyNumberFormat="1" applyAlignment="1">
      <alignment horizontal="center" vertical="center"/>
    </xf>
    <xf numFmtId="20" fontId="0" fillId="0" borderId="0" xfId="0" applyNumberFormat="1" applyAlignment="1">
      <alignment horizontal="center" vertical="center"/>
    </xf>
    <xf numFmtId="0" fontId="1" fillId="0" borderId="0" xfId="0" applyFont="1" applyAlignment="1">
      <alignment horizontal="center" vertical="center"/>
    </xf>
    <xf numFmtId="20" fontId="0" fillId="0" borderId="0" xfId="0" applyNumberFormat="1" applyAlignment="1">
      <alignment horizontal="right" vertical="center"/>
    </xf>
    <xf numFmtId="0" fontId="0" fillId="0" borderId="1" xfId="0" applyBorder="1" applyAlignment="1">
      <alignment horizontal="center" vertical="center"/>
    </xf>
    <xf numFmtId="0" fontId="0" fillId="0" borderId="0" xfId="0" applyBorder="1" applyAlignment="1">
      <alignment vertical="center"/>
    </xf>
    <xf numFmtId="0" fontId="0" fillId="0" borderId="0" xfId="0" applyBorder="1" applyAlignment="1">
      <alignment horizontal="center" vertical="center"/>
    </xf>
    <xf numFmtId="164" fontId="0" fillId="0" borderId="0" xfId="0" applyNumberFormat="1" applyBorder="1" applyAlignment="1">
      <alignment horizontal="center" vertical="center"/>
    </xf>
    <xf numFmtId="20" fontId="0" fillId="0" borderId="0" xfId="0" applyNumberFormat="1" applyBorder="1" applyAlignment="1">
      <alignment horizontal="center" vertical="center"/>
    </xf>
    <xf numFmtId="0" fontId="1" fillId="0" borderId="0" xfId="0"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165" fontId="0" fillId="0" borderId="0" xfId="0" applyNumberFormat="1" applyBorder="1" applyAlignment="1">
      <alignment horizontal="left" vertical="center"/>
    </xf>
    <xf numFmtId="0" fontId="3" fillId="0" borderId="2" xfId="0" applyFont="1" applyBorder="1" applyAlignment="1">
      <alignment horizontal="center" vertical="center" wrapText="1"/>
    </xf>
    <xf numFmtId="0" fontId="0" fillId="0" borderId="0" xfId="0" applyBorder="1"/>
    <xf numFmtId="0" fontId="1" fillId="0" borderId="0" xfId="0" applyFont="1" applyBorder="1"/>
    <xf numFmtId="0" fontId="3" fillId="0" borderId="0" xfId="0" applyFont="1" applyBorder="1" applyAlignment="1">
      <alignment vertical="center" wrapText="1"/>
    </xf>
    <xf numFmtId="0" fontId="3" fillId="0" borderId="2" xfId="0" applyFont="1" applyBorder="1" applyAlignment="1">
      <alignment horizontal="center" vertical="center" textRotation="90" wrapText="1"/>
    </xf>
    <xf numFmtId="0" fontId="0" fillId="0" borderId="2" xfId="0" applyBorder="1" applyAlignment="1">
      <alignment horizontal="center" vertical="center"/>
    </xf>
    <xf numFmtId="0" fontId="0" fillId="0" borderId="2" xfId="0" applyBorder="1" applyAlignment="1">
      <alignment vertical="center"/>
    </xf>
    <xf numFmtId="164" fontId="0" fillId="0" borderId="2" xfId="0" applyNumberFormat="1" applyBorder="1" applyAlignment="1">
      <alignment horizontal="center" vertical="center"/>
    </xf>
    <xf numFmtId="20" fontId="0" fillId="0" borderId="2" xfId="0" applyNumberFormat="1" applyBorder="1" applyAlignment="1">
      <alignment horizontal="center" vertical="center"/>
    </xf>
    <xf numFmtId="0" fontId="1" fillId="0" borderId="2" xfId="0" applyFont="1" applyBorder="1" applyAlignment="1">
      <alignment horizontal="center" vertical="center"/>
    </xf>
    <xf numFmtId="0" fontId="0" fillId="0" borderId="2" xfId="0" applyBorder="1" applyAlignment="1">
      <alignment horizontal="left" vertical="center"/>
    </xf>
    <xf numFmtId="0" fontId="3" fillId="0" borderId="2" xfId="0" applyFont="1" applyBorder="1" applyAlignment="1">
      <alignment horizontal="center" vertical="center"/>
    </xf>
    <xf numFmtId="0" fontId="3" fillId="0" borderId="2" xfId="0" applyFont="1" applyBorder="1" applyAlignment="1">
      <alignment vertical="center" wrapText="1"/>
    </xf>
    <xf numFmtId="0" fontId="7" fillId="0" borderId="2" xfId="0" applyFont="1" applyBorder="1" applyAlignment="1">
      <alignment horizontal="center" vertical="center" wrapText="1"/>
    </xf>
    <xf numFmtId="164" fontId="3" fillId="0" borderId="2" xfId="0" applyNumberFormat="1" applyFont="1" applyBorder="1" applyAlignment="1">
      <alignment horizontal="center" vertical="center" wrapText="1"/>
    </xf>
    <xf numFmtId="20" fontId="3" fillId="0" borderId="2" xfId="0" applyNumberFormat="1" applyFont="1" applyBorder="1" applyAlignment="1">
      <alignment horizontal="center" vertical="center" wrapText="1"/>
    </xf>
    <xf numFmtId="0" fontId="1" fillId="0" borderId="3" xfId="0" applyFont="1" applyBorder="1" applyAlignment="1">
      <alignment horizontal="right"/>
    </xf>
    <xf numFmtId="0" fontId="8" fillId="0" borderId="0" xfId="0" applyFont="1" applyAlignment="1">
      <alignment vertical="center"/>
    </xf>
    <xf numFmtId="1" fontId="6" fillId="0" borderId="2" xfId="0" applyNumberFormat="1" applyFont="1" applyBorder="1" applyAlignment="1">
      <alignment horizontal="center" vertical="center"/>
    </xf>
    <xf numFmtId="1" fontId="2"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1" fillId="0" borderId="2" xfId="0" applyFont="1" applyBorder="1" applyAlignment="1">
      <alignment vertical="center"/>
    </xf>
    <xf numFmtId="0" fontId="0" fillId="0" borderId="2" xfId="0" applyBorder="1" applyAlignment="1">
      <alignment vertical="center" wrapText="1"/>
    </xf>
    <xf numFmtId="0" fontId="0" fillId="0" borderId="2" xfId="0" applyBorder="1" applyAlignment="1">
      <alignment horizontal="center" vertical="center" wrapText="1"/>
    </xf>
    <xf numFmtId="0" fontId="4" fillId="0" borderId="0" xfId="0" applyFont="1" applyAlignment="1">
      <alignment horizontal="center"/>
    </xf>
    <xf numFmtId="16" fontId="4" fillId="0" borderId="0" xfId="0" quotePrefix="1" applyNumberFormat="1" applyFont="1" applyAlignment="1">
      <alignment horizontal="center"/>
    </xf>
    <xf numFmtId="16" fontId="4" fillId="0" borderId="0" xfId="0" applyNumberFormat="1" applyFont="1" applyAlignment="1">
      <alignment horizontal="center"/>
    </xf>
    <xf numFmtId="0" fontId="5" fillId="0" borderId="0" xfId="0" applyFont="1" applyAlignment="1">
      <alignment horizontal="center" vertical="center"/>
    </xf>
    <xf numFmtId="0" fontId="9" fillId="0" borderId="2" xfId="0" applyFont="1" applyBorder="1" applyAlignment="1">
      <alignment vertical="center"/>
    </xf>
    <xf numFmtId="0" fontId="9" fillId="0" borderId="2" xfId="0" applyFont="1" applyBorder="1" applyAlignment="1">
      <alignment vertical="center" wrapText="1"/>
    </xf>
    <xf numFmtId="0" fontId="9" fillId="0" borderId="2" xfId="0" applyFont="1" applyBorder="1" applyAlignment="1">
      <alignment horizontal="center" vertical="center"/>
    </xf>
    <xf numFmtId="0" fontId="0" fillId="0" borderId="0" xfId="0" applyAlignment="1">
      <alignment vertical="center" wrapText="1"/>
    </xf>
    <xf numFmtId="1" fontId="2" fillId="0" borderId="2" xfId="0" applyNumberFormat="1"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R62"/>
  <sheetViews>
    <sheetView tabSelected="1" view="pageBreakPreview" topLeftCell="A2" zoomScale="80" zoomScaleSheetLayoutView="80" workbookViewId="0">
      <pane ySplit="6" topLeftCell="A20" activePane="bottomLeft" state="frozen"/>
      <selection activeCell="A2" sqref="A2"/>
      <selection pane="bottomLeft" activeCell="B20" sqref="B20"/>
    </sheetView>
  </sheetViews>
  <sheetFormatPr defaultRowHeight="15"/>
  <cols>
    <col min="1" max="1" width="4.42578125" style="4" customWidth="1"/>
    <col min="2" max="2" width="18.85546875" style="1" customWidth="1"/>
    <col min="3" max="3" width="24.7109375" style="1" customWidth="1"/>
    <col min="4" max="4" width="15.28515625" style="1" customWidth="1"/>
    <col min="5" max="5" width="19" style="1" customWidth="1"/>
    <col min="6" max="6" width="19.28515625" style="1" customWidth="1"/>
    <col min="7" max="7" width="11" style="4" customWidth="1"/>
    <col min="8" max="8" width="28" style="1" customWidth="1"/>
    <col min="9" max="9" width="23.42578125" style="5" customWidth="1"/>
    <col min="10" max="10" width="24.85546875" style="5" customWidth="1"/>
    <col min="11" max="11" width="16.42578125" style="6" customWidth="1"/>
    <col min="12" max="12" width="6.5703125" style="7" customWidth="1"/>
    <col min="13" max="13" width="36.85546875" style="1" customWidth="1"/>
    <col min="14" max="14" width="9.5703125" customWidth="1"/>
    <col min="17" max="17" width="9.42578125" bestFit="1" customWidth="1"/>
  </cols>
  <sheetData>
    <row r="1" spans="1:18" ht="24" customHeight="1">
      <c r="A1" s="45" t="s">
        <v>18</v>
      </c>
      <c r="B1" s="45"/>
      <c r="C1" s="45"/>
      <c r="D1" s="45"/>
      <c r="E1" s="45"/>
      <c r="F1" s="45"/>
      <c r="G1" s="45"/>
      <c r="H1" s="45"/>
      <c r="I1" s="45"/>
      <c r="J1" s="45"/>
      <c r="K1" s="45"/>
      <c r="L1" s="45"/>
      <c r="M1" s="45"/>
    </row>
    <row r="2" spans="1:18" ht="26.25">
      <c r="A2" s="42" t="s">
        <v>19</v>
      </c>
      <c r="B2" s="42"/>
      <c r="C2" s="42"/>
      <c r="D2" s="42"/>
      <c r="E2" s="42"/>
      <c r="F2" s="42"/>
      <c r="G2" s="42"/>
      <c r="H2" s="42"/>
      <c r="I2" s="42"/>
      <c r="J2" s="42"/>
      <c r="K2" s="42"/>
      <c r="L2" s="42"/>
      <c r="M2" s="42"/>
      <c r="O2" s="19"/>
      <c r="P2" s="19"/>
    </row>
    <row r="3" spans="1:18" ht="26.25">
      <c r="A3" s="43" t="s">
        <v>37</v>
      </c>
      <c r="B3" s="44"/>
      <c r="C3" s="44"/>
      <c r="D3" s="44"/>
      <c r="E3" s="44"/>
      <c r="F3" s="44"/>
      <c r="G3" s="44"/>
      <c r="H3" s="44"/>
      <c r="I3" s="44"/>
      <c r="J3" s="44"/>
      <c r="K3" s="44"/>
      <c r="L3" s="44"/>
      <c r="M3" s="44"/>
      <c r="O3" s="20"/>
      <c r="P3" s="20"/>
    </row>
    <row r="4" spans="1:18">
      <c r="J4" s="14"/>
      <c r="L4" s="8" t="s">
        <v>22</v>
      </c>
      <c r="M4" s="17">
        <v>44089</v>
      </c>
      <c r="O4" s="19"/>
      <c r="P4" s="19"/>
    </row>
    <row r="5" spans="1:18" ht="18" customHeight="1">
      <c r="A5" s="15" t="s">
        <v>8</v>
      </c>
      <c r="B5" s="35" t="s">
        <v>20</v>
      </c>
      <c r="L5" s="34" t="s">
        <v>0</v>
      </c>
      <c r="M5" s="17">
        <v>44091</v>
      </c>
      <c r="O5" s="19"/>
      <c r="P5" s="19"/>
    </row>
    <row r="6" spans="1:18" s="2" customFormat="1" ht="83.25" customHeight="1">
      <c r="A6" s="29" t="s">
        <v>1</v>
      </c>
      <c r="B6" s="30" t="s">
        <v>2</v>
      </c>
      <c r="C6" s="18" t="s">
        <v>21</v>
      </c>
      <c r="D6" s="30" t="s">
        <v>3</v>
      </c>
      <c r="E6" s="30" t="s">
        <v>4</v>
      </c>
      <c r="F6" s="30" t="s">
        <v>12</v>
      </c>
      <c r="G6" s="18" t="s">
        <v>13</v>
      </c>
      <c r="H6" s="31" t="s">
        <v>14</v>
      </c>
      <c r="I6" s="32" t="s">
        <v>26</v>
      </c>
      <c r="J6" s="32" t="s">
        <v>27</v>
      </c>
      <c r="K6" s="33" t="s">
        <v>7</v>
      </c>
      <c r="L6" s="22" t="s">
        <v>6</v>
      </c>
      <c r="M6" s="18" t="s">
        <v>5</v>
      </c>
      <c r="N6" s="3"/>
      <c r="O6" s="21"/>
      <c r="P6" s="21"/>
      <c r="Q6" s="3"/>
      <c r="R6" s="3"/>
    </row>
    <row r="7" spans="1:18" ht="17.25" customHeight="1">
      <c r="A7" s="36">
        <v>1</v>
      </c>
      <c r="B7" s="36">
        <v>2</v>
      </c>
      <c r="C7" s="37">
        <v>3</v>
      </c>
      <c r="D7" s="38">
        <v>4</v>
      </c>
      <c r="E7" s="38">
        <v>5</v>
      </c>
      <c r="F7" s="38">
        <v>6</v>
      </c>
      <c r="G7" s="38">
        <v>7</v>
      </c>
      <c r="H7" s="38">
        <v>8</v>
      </c>
      <c r="I7" s="38">
        <v>9</v>
      </c>
      <c r="J7" s="38">
        <v>10</v>
      </c>
      <c r="K7" s="38">
        <v>11</v>
      </c>
      <c r="L7" s="38">
        <v>12</v>
      </c>
      <c r="M7" s="38">
        <v>13</v>
      </c>
    </row>
    <row r="8" spans="1:18">
      <c r="A8" s="23"/>
      <c r="B8" s="39" t="s">
        <v>28</v>
      </c>
      <c r="C8" s="24" t="s">
        <v>29</v>
      </c>
      <c r="D8" s="24"/>
      <c r="E8" s="24"/>
      <c r="F8" s="24"/>
      <c r="G8" s="23"/>
      <c r="H8" s="24"/>
      <c r="I8" s="25"/>
      <c r="J8" s="25"/>
      <c r="K8" s="26" t="str">
        <f>TEXT(J8-I8,"[hh]:mm")</f>
        <v>00:00</v>
      </c>
      <c r="L8" s="27"/>
      <c r="M8" s="24"/>
    </row>
    <row r="9" spans="1:18">
      <c r="A9" s="23"/>
      <c r="B9" s="39"/>
      <c r="C9" s="24"/>
      <c r="D9" s="24"/>
      <c r="E9" s="24"/>
      <c r="F9" s="24"/>
      <c r="G9" s="23"/>
      <c r="H9" s="24"/>
      <c r="I9" s="25"/>
      <c r="J9" s="25"/>
      <c r="K9" s="26"/>
      <c r="L9" s="27"/>
      <c r="M9" s="24"/>
    </row>
    <row r="10" spans="1:18">
      <c r="A10" s="23"/>
      <c r="B10" s="39" t="s">
        <v>30</v>
      </c>
      <c r="C10" s="24" t="s">
        <v>29</v>
      </c>
      <c r="D10" s="24"/>
      <c r="E10" s="24"/>
      <c r="F10" s="24"/>
      <c r="G10" s="23"/>
      <c r="H10" s="24"/>
      <c r="I10" s="25"/>
      <c r="J10" s="25"/>
      <c r="K10" s="26" t="str">
        <f>TEXT(J10-I10,"[hh]:mm")</f>
        <v>00:00</v>
      </c>
      <c r="L10" s="27"/>
      <c r="M10" s="24"/>
    </row>
    <row r="11" spans="1:18">
      <c r="A11" s="23"/>
      <c r="B11" s="39"/>
      <c r="C11" s="24"/>
      <c r="D11" s="24"/>
      <c r="E11" s="24"/>
      <c r="F11" s="24"/>
      <c r="G11" s="23"/>
      <c r="H11" s="24"/>
      <c r="I11" s="25"/>
      <c r="J11" s="25"/>
      <c r="K11" s="26"/>
      <c r="L11" s="27"/>
      <c r="M11" s="24"/>
    </row>
    <row r="12" spans="1:18">
      <c r="A12" s="23"/>
      <c r="B12" s="39" t="s">
        <v>31</v>
      </c>
      <c r="C12" s="24" t="s">
        <v>29</v>
      </c>
      <c r="D12" s="24"/>
      <c r="E12" s="24"/>
      <c r="F12" s="24"/>
      <c r="G12" s="23"/>
      <c r="H12" s="24"/>
      <c r="I12" s="25"/>
      <c r="J12" s="25"/>
      <c r="K12" s="26" t="str">
        <f>TEXT(J12-I12,"[hh]:mm")</f>
        <v>00:00</v>
      </c>
      <c r="L12" s="27"/>
      <c r="M12" s="24"/>
    </row>
    <row r="13" spans="1:18">
      <c r="A13" s="23"/>
      <c r="B13" s="39"/>
      <c r="C13" s="24"/>
      <c r="D13" s="24"/>
      <c r="E13" s="24"/>
      <c r="F13" s="24"/>
      <c r="G13" s="23"/>
      <c r="H13" s="24"/>
      <c r="I13" s="25"/>
      <c r="J13" s="25"/>
      <c r="K13" s="26"/>
      <c r="L13" s="27"/>
      <c r="M13" s="24"/>
    </row>
    <row r="14" spans="1:18">
      <c r="A14" s="23"/>
      <c r="B14" s="39" t="s">
        <v>32</v>
      </c>
      <c r="C14" s="24" t="s">
        <v>29</v>
      </c>
      <c r="D14" s="24"/>
      <c r="E14" s="24"/>
      <c r="F14" s="24"/>
      <c r="G14" s="23"/>
      <c r="H14" s="24"/>
      <c r="I14" s="25"/>
      <c r="J14" s="25"/>
      <c r="K14" s="26" t="str">
        <f>TEXT(J14-I14,"[hh]:mm")</f>
        <v>00:00</v>
      </c>
      <c r="L14" s="27"/>
      <c r="M14" s="24"/>
    </row>
    <row r="15" spans="1:18">
      <c r="A15" s="23"/>
      <c r="B15" s="39"/>
      <c r="C15" s="24"/>
      <c r="D15" s="24"/>
      <c r="E15" s="24"/>
      <c r="F15" s="24"/>
      <c r="G15" s="23"/>
      <c r="H15" s="24"/>
      <c r="I15" s="25"/>
      <c r="J15" s="25"/>
      <c r="K15" s="26"/>
      <c r="L15" s="27"/>
      <c r="M15" s="24"/>
    </row>
    <row r="16" spans="1:18">
      <c r="A16" s="23"/>
      <c r="B16" s="39" t="s">
        <v>33</v>
      </c>
      <c r="C16" s="24" t="s">
        <v>29</v>
      </c>
      <c r="D16" s="24"/>
      <c r="E16" s="24"/>
      <c r="F16" s="24"/>
      <c r="G16" s="23"/>
      <c r="H16" s="24"/>
      <c r="I16" s="25"/>
      <c r="J16" s="25"/>
      <c r="K16" s="26" t="str">
        <f>TEXT(J16-I16,"[hh]:mm")</f>
        <v>00:00</v>
      </c>
      <c r="L16" s="27"/>
      <c r="M16" s="24"/>
    </row>
    <row r="17" spans="1:13">
      <c r="A17" s="23"/>
      <c r="B17" s="39"/>
      <c r="C17" s="24"/>
      <c r="D17" s="24"/>
      <c r="E17" s="24"/>
      <c r="F17" s="24"/>
      <c r="G17" s="23"/>
      <c r="H17" s="24"/>
      <c r="I17" s="25"/>
      <c r="J17" s="25"/>
      <c r="K17" s="26"/>
      <c r="L17" s="27"/>
      <c r="M17" s="24"/>
    </row>
    <row r="18" spans="1:13">
      <c r="A18" s="23"/>
      <c r="B18" s="39" t="s">
        <v>34</v>
      </c>
      <c r="C18" s="24" t="s">
        <v>29</v>
      </c>
      <c r="D18" s="24"/>
      <c r="E18" s="24"/>
      <c r="F18" s="24"/>
      <c r="G18" s="23"/>
      <c r="H18" s="24"/>
      <c r="I18" s="25"/>
      <c r="J18" s="25"/>
      <c r="K18" s="26" t="str">
        <f>TEXT(J18-I18,"[hh]:mm")</f>
        <v>00:00</v>
      </c>
      <c r="L18" s="27"/>
      <c r="M18" s="24"/>
    </row>
    <row r="19" spans="1:13">
      <c r="A19" s="23"/>
      <c r="B19" s="39"/>
      <c r="C19" s="24"/>
      <c r="D19" s="24"/>
      <c r="E19" s="24"/>
      <c r="F19" s="24"/>
      <c r="G19" s="23"/>
      <c r="H19" s="24"/>
      <c r="I19" s="25"/>
      <c r="J19" s="25"/>
      <c r="K19" s="26"/>
      <c r="L19" s="27"/>
      <c r="M19" s="24"/>
    </row>
    <row r="20" spans="1:13">
      <c r="A20" s="23"/>
      <c r="B20" s="39" t="s">
        <v>35</v>
      </c>
      <c r="C20" s="24"/>
      <c r="D20" s="24"/>
      <c r="E20" s="24"/>
      <c r="F20" s="24"/>
      <c r="G20" s="23"/>
      <c r="H20" s="24"/>
      <c r="I20" s="25"/>
      <c r="J20" s="25"/>
      <c r="K20" s="26"/>
      <c r="L20" s="27"/>
      <c r="M20" s="24"/>
    </row>
    <row r="21" spans="1:13" ht="360">
      <c r="A21" s="23">
        <v>1</v>
      </c>
      <c r="B21" s="39"/>
      <c r="C21" s="46" t="s">
        <v>58</v>
      </c>
      <c r="D21" s="46" t="s">
        <v>59</v>
      </c>
      <c r="E21" s="46" t="s">
        <v>60</v>
      </c>
      <c r="F21" s="47" t="s">
        <v>61</v>
      </c>
      <c r="G21" s="48" t="s">
        <v>35</v>
      </c>
      <c r="H21" s="47" t="s">
        <v>62</v>
      </c>
      <c r="I21" s="25">
        <v>44129.354166666664</v>
      </c>
      <c r="J21" s="25">
        <v>44144.75</v>
      </c>
      <c r="K21" s="26" t="str">
        <f>TEXT(J21-I21,"[hh]:mm")</f>
        <v>369:30</v>
      </c>
      <c r="L21" s="27"/>
      <c r="M21" s="47" t="s">
        <v>63</v>
      </c>
    </row>
    <row r="22" spans="1:13">
      <c r="A22" s="23"/>
      <c r="B22" s="39"/>
      <c r="C22" s="24"/>
      <c r="D22" s="24"/>
      <c r="E22" s="24"/>
      <c r="F22" s="24"/>
      <c r="G22" s="23"/>
      <c r="H22" s="24"/>
      <c r="I22" s="25"/>
      <c r="J22" s="25"/>
      <c r="K22" s="26"/>
      <c r="L22" s="27"/>
      <c r="M22" s="24"/>
    </row>
    <row r="23" spans="1:13">
      <c r="A23" s="23"/>
      <c r="B23" s="39" t="s">
        <v>36</v>
      </c>
      <c r="C23" s="24" t="s">
        <v>29</v>
      </c>
      <c r="D23" s="24"/>
      <c r="E23" s="24"/>
      <c r="F23" s="24"/>
      <c r="G23" s="23"/>
      <c r="H23" s="24"/>
      <c r="I23" s="25"/>
      <c r="J23" s="25"/>
      <c r="K23" s="26"/>
      <c r="L23" s="27"/>
      <c r="M23" s="24"/>
    </row>
    <row r="24" spans="1:13">
      <c r="A24" s="23">
        <v>1</v>
      </c>
      <c r="B24" s="24"/>
      <c r="C24" s="24"/>
      <c r="D24" s="24"/>
      <c r="E24" s="24"/>
      <c r="F24" s="24"/>
      <c r="G24" s="23"/>
      <c r="H24" s="40"/>
      <c r="I24" s="25"/>
      <c r="J24" s="25"/>
      <c r="K24" s="26" t="str">
        <f>TEXT(J24-I24,"[hh]:mm")</f>
        <v>00:00</v>
      </c>
      <c r="L24" s="27"/>
      <c r="M24" s="24"/>
    </row>
    <row r="25" spans="1:13">
      <c r="A25" s="23">
        <v>2</v>
      </c>
      <c r="B25" s="24"/>
      <c r="C25" s="24"/>
      <c r="D25" s="24"/>
      <c r="E25" s="24"/>
      <c r="F25" s="24"/>
      <c r="G25" s="23"/>
      <c r="H25" s="40"/>
      <c r="I25" s="25"/>
      <c r="J25" s="25"/>
      <c r="K25" s="26" t="str">
        <f t="shared" ref="K25:K27" si="0">TEXT(J25-I25,"[hh]:mm")</f>
        <v>00:00</v>
      </c>
      <c r="L25" s="27"/>
      <c r="M25" s="24"/>
    </row>
    <row r="26" spans="1:13">
      <c r="A26" s="23">
        <v>3</v>
      </c>
      <c r="B26" s="24"/>
      <c r="C26" s="24"/>
      <c r="D26" s="24"/>
      <c r="E26" s="24"/>
      <c r="F26" s="24"/>
      <c r="G26" s="23"/>
      <c r="H26" s="40"/>
      <c r="I26" s="25"/>
      <c r="J26" s="25"/>
      <c r="K26" s="26" t="str">
        <f t="shared" si="0"/>
        <v>00:00</v>
      </c>
      <c r="L26" s="27"/>
      <c r="M26" s="24"/>
    </row>
    <row r="27" spans="1:13">
      <c r="A27" s="23">
        <v>4</v>
      </c>
      <c r="B27" s="24"/>
      <c r="C27" s="24"/>
      <c r="D27" s="24"/>
      <c r="E27" s="24"/>
      <c r="F27" s="24"/>
      <c r="G27" s="23"/>
      <c r="H27" s="40"/>
      <c r="I27" s="25"/>
      <c r="J27" s="25"/>
      <c r="K27" s="26" t="str">
        <f t="shared" si="0"/>
        <v>00:00</v>
      </c>
      <c r="L27" s="27"/>
      <c r="M27" s="24"/>
    </row>
    <row r="28" spans="1:13">
      <c r="A28" s="23"/>
      <c r="B28" s="24"/>
      <c r="C28" s="24"/>
      <c r="D28" s="24"/>
      <c r="E28" s="24"/>
      <c r="F28" s="24"/>
      <c r="G28" s="23"/>
      <c r="H28" s="24"/>
      <c r="I28" s="25"/>
      <c r="J28" s="25"/>
      <c r="K28" s="26"/>
      <c r="L28" s="27"/>
      <c r="M28" s="24"/>
    </row>
    <row r="29" spans="1:13">
      <c r="A29" s="23"/>
      <c r="B29" s="24"/>
      <c r="C29" s="24"/>
      <c r="D29" s="24"/>
      <c r="E29" s="24"/>
      <c r="F29" s="24"/>
      <c r="G29" s="23"/>
      <c r="H29" s="24"/>
      <c r="I29" s="25"/>
      <c r="J29" s="25"/>
      <c r="K29" s="26"/>
      <c r="L29" s="27"/>
      <c r="M29" s="24"/>
    </row>
    <row r="30" spans="1:13">
      <c r="A30" s="23"/>
      <c r="B30" s="24"/>
      <c r="C30" s="24"/>
      <c r="D30" s="24"/>
      <c r="E30" s="24"/>
      <c r="F30" s="24"/>
      <c r="G30" s="23"/>
      <c r="H30" s="24"/>
      <c r="I30" s="25"/>
      <c r="J30" s="25"/>
      <c r="K30" s="26"/>
      <c r="L30" s="27"/>
      <c r="M30" s="24"/>
    </row>
    <row r="31" spans="1:13">
      <c r="A31" s="23"/>
      <c r="B31" s="24"/>
      <c r="C31" s="24"/>
      <c r="D31" s="24"/>
      <c r="E31" s="24"/>
      <c r="F31" s="24"/>
      <c r="G31" s="23"/>
      <c r="H31" s="24"/>
      <c r="I31" s="25"/>
      <c r="J31" s="25"/>
      <c r="K31" s="26"/>
      <c r="L31" s="27"/>
      <c r="M31" s="24"/>
    </row>
    <row r="32" spans="1:13">
      <c r="A32" s="23"/>
      <c r="B32" s="24"/>
      <c r="C32" s="24"/>
      <c r="D32" s="24"/>
      <c r="E32" s="24"/>
      <c r="F32" s="24"/>
      <c r="G32" s="23"/>
      <c r="H32" s="24"/>
      <c r="I32" s="25"/>
      <c r="J32" s="25"/>
      <c r="K32" s="26"/>
      <c r="L32" s="27"/>
      <c r="M32" s="24"/>
    </row>
    <row r="33" spans="1:13">
      <c r="A33" s="23"/>
      <c r="B33" s="24"/>
      <c r="C33" s="24"/>
      <c r="D33" s="24"/>
      <c r="E33" s="24"/>
      <c r="F33" s="24"/>
      <c r="G33" s="23"/>
      <c r="H33" s="24"/>
      <c r="I33" s="25"/>
      <c r="J33" s="25"/>
      <c r="K33" s="26"/>
      <c r="L33" s="27"/>
      <c r="M33" s="24"/>
    </row>
    <row r="34" spans="1:13">
      <c r="A34" s="23"/>
      <c r="B34" s="24"/>
      <c r="C34" s="24"/>
      <c r="D34" s="24"/>
      <c r="E34" s="24"/>
      <c r="F34" s="24"/>
      <c r="G34" s="23"/>
      <c r="H34" s="24"/>
      <c r="I34" s="25"/>
      <c r="J34" s="25"/>
      <c r="K34" s="26"/>
      <c r="L34" s="27"/>
      <c r="M34" s="24"/>
    </row>
    <row r="35" spans="1:13">
      <c r="A35" s="11"/>
      <c r="B35" s="10"/>
      <c r="C35" s="10"/>
      <c r="D35" s="10"/>
      <c r="E35" s="10"/>
      <c r="F35" s="10"/>
      <c r="G35" s="11"/>
      <c r="H35" s="10"/>
      <c r="I35" s="12"/>
      <c r="J35" s="12"/>
      <c r="K35" s="13"/>
      <c r="L35" s="14"/>
      <c r="M35" s="10"/>
    </row>
    <row r="36" spans="1:13">
      <c r="A36" s="11"/>
      <c r="B36" s="10"/>
      <c r="C36" s="10"/>
      <c r="D36" s="10"/>
      <c r="E36" s="10"/>
      <c r="F36" s="10"/>
      <c r="G36" s="11"/>
      <c r="H36" s="10"/>
      <c r="I36" s="12"/>
      <c r="J36" s="12"/>
      <c r="K36" s="13"/>
      <c r="L36" s="14"/>
      <c r="M36" s="10"/>
    </row>
    <row r="37" spans="1:13">
      <c r="A37" s="11"/>
      <c r="B37" s="10"/>
      <c r="C37" s="10"/>
      <c r="D37" s="10"/>
      <c r="E37" s="10"/>
      <c r="F37" s="10"/>
      <c r="G37" s="11"/>
      <c r="H37" s="10"/>
      <c r="I37" s="12"/>
      <c r="J37" s="12"/>
      <c r="K37" s="13"/>
      <c r="L37" s="14"/>
      <c r="M37" s="10"/>
    </row>
    <row r="38" spans="1:13">
      <c r="A38" s="11"/>
      <c r="B38" s="10"/>
      <c r="C38" s="10"/>
      <c r="D38" s="10"/>
      <c r="E38" s="10"/>
      <c r="F38" s="10"/>
      <c r="G38" s="11"/>
      <c r="H38" s="10"/>
      <c r="I38" s="12"/>
      <c r="J38" s="12"/>
      <c r="K38" s="13"/>
      <c r="L38" s="14"/>
      <c r="M38" s="10"/>
    </row>
    <row r="39" spans="1:13">
      <c r="A39" s="9"/>
      <c r="B39" s="10"/>
      <c r="C39" s="10"/>
      <c r="D39" s="10"/>
      <c r="E39" s="10"/>
      <c r="F39" s="10"/>
      <c r="G39" s="11"/>
      <c r="H39" s="10"/>
      <c r="I39" s="12"/>
      <c r="J39" s="12"/>
      <c r="K39" s="13"/>
      <c r="L39" s="14"/>
      <c r="M39" s="10"/>
    </row>
    <row r="40" spans="1:13">
      <c r="A40" s="9"/>
      <c r="B40" s="10"/>
      <c r="C40" s="10"/>
      <c r="D40" s="10"/>
      <c r="E40" s="10"/>
      <c r="F40" s="10"/>
      <c r="G40" s="11"/>
      <c r="H40" s="10"/>
      <c r="I40" s="12"/>
      <c r="J40" s="12"/>
      <c r="K40" s="13"/>
      <c r="L40" s="14"/>
      <c r="M40" s="10"/>
    </row>
    <row r="41" spans="1:13">
      <c r="A41" s="9"/>
      <c r="B41" s="10"/>
      <c r="C41" s="10"/>
      <c r="D41" s="10"/>
      <c r="E41" s="10"/>
      <c r="F41" s="10"/>
      <c r="G41" s="11"/>
      <c r="H41" s="10"/>
      <c r="I41" s="12"/>
      <c r="J41" s="12"/>
      <c r="K41" s="13"/>
      <c r="L41" s="14"/>
      <c r="M41" s="10"/>
    </row>
    <row r="42" spans="1:13">
      <c r="A42" s="9"/>
      <c r="B42" s="10"/>
      <c r="C42" s="10"/>
      <c r="D42" s="10"/>
      <c r="E42" s="10"/>
      <c r="F42" s="10"/>
      <c r="G42" s="11"/>
      <c r="H42" s="10"/>
      <c r="I42" s="12"/>
      <c r="J42" s="12"/>
      <c r="K42" s="13"/>
      <c r="L42" s="14"/>
      <c r="M42" s="10"/>
    </row>
    <row r="43" spans="1:13">
      <c r="A43" s="9"/>
      <c r="B43" s="10"/>
      <c r="C43" s="10"/>
      <c r="D43" s="10"/>
      <c r="E43" s="10"/>
      <c r="F43" s="10"/>
      <c r="G43" s="11"/>
      <c r="H43" s="10"/>
      <c r="I43" s="12"/>
      <c r="J43" s="12"/>
      <c r="K43" s="13"/>
      <c r="L43" s="14"/>
      <c r="M43" s="10"/>
    </row>
    <row r="44" spans="1:13">
      <c r="A44" s="9"/>
      <c r="B44" s="10"/>
      <c r="C44" s="10"/>
      <c r="D44" s="10"/>
      <c r="E44" s="10"/>
      <c r="F44" s="10"/>
      <c r="G44" s="11"/>
      <c r="H44" s="10"/>
      <c r="I44" s="12"/>
      <c r="J44" s="12"/>
      <c r="K44" s="13"/>
      <c r="L44" s="14"/>
      <c r="M44" s="10"/>
    </row>
    <row r="45" spans="1:13">
      <c r="A45" s="9"/>
      <c r="B45" s="10"/>
      <c r="C45" s="10"/>
      <c r="D45" s="10"/>
      <c r="E45" s="10"/>
      <c r="F45" s="10"/>
      <c r="G45" s="11"/>
      <c r="H45" s="10"/>
      <c r="I45" s="12"/>
      <c r="J45" s="12"/>
      <c r="K45" s="13"/>
      <c r="L45" s="14"/>
      <c r="M45" s="10"/>
    </row>
    <row r="46" spans="1:13">
      <c r="A46" s="9"/>
      <c r="B46" s="10"/>
      <c r="C46" s="10"/>
      <c r="D46" s="10"/>
      <c r="E46" s="10"/>
      <c r="F46" s="10"/>
      <c r="G46" s="11"/>
      <c r="H46" s="10"/>
      <c r="I46" s="12"/>
      <c r="J46" s="12"/>
      <c r="K46" s="13"/>
      <c r="L46" s="14"/>
      <c r="M46" s="10"/>
    </row>
    <row r="47" spans="1:13">
      <c r="A47" s="9"/>
      <c r="B47" s="10"/>
      <c r="C47" s="10"/>
      <c r="D47" s="10"/>
      <c r="E47" s="10"/>
      <c r="F47" s="10"/>
      <c r="G47" s="11"/>
      <c r="H47" s="10"/>
      <c r="I47" s="12"/>
      <c r="J47" s="12"/>
      <c r="K47" s="13"/>
      <c r="L47" s="14"/>
      <c r="M47" s="10"/>
    </row>
    <row r="48" spans="1:13">
      <c r="A48" s="9"/>
      <c r="B48" s="10"/>
      <c r="C48" s="10"/>
      <c r="D48" s="10"/>
      <c r="E48" s="10"/>
      <c r="F48" s="10"/>
      <c r="G48" s="11"/>
      <c r="H48" s="10"/>
      <c r="I48" s="12"/>
      <c r="J48" s="12"/>
      <c r="K48" s="13"/>
      <c r="L48" s="14"/>
      <c r="M48" s="10"/>
    </row>
    <row r="49" spans="1:13">
      <c r="A49" s="9"/>
      <c r="B49" s="10"/>
      <c r="C49" s="10"/>
      <c r="D49" s="10"/>
      <c r="E49" s="10"/>
      <c r="F49" s="10"/>
      <c r="G49" s="11"/>
      <c r="H49" s="10"/>
      <c r="I49" s="12"/>
      <c r="J49" s="12"/>
      <c r="K49" s="13"/>
      <c r="L49" s="14"/>
      <c r="M49" s="10"/>
    </row>
    <row r="50" spans="1:13">
      <c r="A50" s="9"/>
      <c r="B50" s="10"/>
      <c r="C50" s="10"/>
      <c r="D50" s="10"/>
      <c r="E50" s="10"/>
      <c r="F50" s="10"/>
      <c r="G50" s="11"/>
      <c r="H50" s="10"/>
      <c r="I50" s="12"/>
      <c r="J50" s="12"/>
      <c r="K50" s="13"/>
      <c r="L50" s="14"/>
      <c r="M50" s="10"/>
    </row>
    <row r="51" spans="1:13">
      <c r="A51" s="9"/>
      <c r="B51" s="10"/>
      <c r="C51" s="10"/>
      <c r="D51" s="10"/>
      <c r="E51" s="10"/>
      <c r="F51" s="10"/>
      <c r="G51" s="11"/>
      <c r="H51" s="10"/>
      <c r="I51" s="12"/>
      <c r="J51" s="12"/>
      <c r="K51" s="13"/>
      <c r="L51" s="14"/>
      <c r="M51" s="10"/>
    </row>
    <row r="52" spans="1:13">
      <c r="A52" s="9"/>
      <c r="B52" s="10"/>
      <c r="C52" s="10"/>
      <c r="D52" s="10"/>
      <c r="E52" s="10"/>
      <c r="F52" s="10"/>
      <c r="G52" s="11"/>
      <c r="H52" s="10"/>
      <c r="I52" s="12"/>
      <c r="J52" s="12"/>
      <c r="K52" s="13"/>
      <c r="L52" s="14"/>
      <c r="M52" s="10"/>
    </row>
    <row r="53" spans="1:13">
      <c r="A53" s="9"/>
      <c r="B53" s="10"/>
      <c r="C53" s="10"/>
      <c r="D53" s="10"/>
      <c r="E53" s="10"/>
      <c r="F53" s="10"/>
      <c r="G53" s="11"/>
      <c r="H53" s="10"/>
      <c r="I53" s="12"/>
      <c r="J53" s="12"/>
      <c r="K53" s="13"/>
      <c r="L53" s="14"/>
      <c r="M53" s="10"/>
    </row>
    <row r="54" spans="1:13">
      <c r="A54" s="9"/>
      <c r="B54" s="10"/>
      <c r="C54" s="10"/>
      <c r="D54" s="10"/>
      <c r="E54" s="10"/>
      <c r="F54" s="10"/>
      <c r="G54" s="11"/>
      <c r="H54" s="10"/>
      <c r="I54" s="12"/>
      <c r="J54" s="12"/>
      <c r="K54" s="13"/>
      <c r="L54" s="14"/>
      <c r="M54" s="10"/>
    </row>
    <row r="55" spans="1:13">
      <c r="A55" s="9"/>
      <c r="B55" s="10"/>
      <c r="C55" s="10"/>
      <c r="D55" s="10"/>
      <c r="E55" s="10"/>
      <c r="F55" s="10"/>
      <c r="G55" s="11"/>
      <c r="H55" s="10"/>
      <c r="I55" s="12"/>
      <c r="J55" s="12"/>
      <c r="K55" s="13"/>
      <c r="L55" s="14"/>
      <c r="M55" s="10"/>
    </row>
    <row r="56" spans="1:13">
      <c r="A56" s="9"/>
      <c r="B56" s="10"/>
      <c r="C56" s="10"/>
      <c r="D56" s="10"/>
      <c r="E56" s="10"/>
      <c r="F56" s="10"/>
      <c r="G56" s="11"/>
      <c r="H56" s="10"/>
      <c r="I56" s="12"/>
      <c r="J56" s="12"/>
      <c r="K56" s="13"/>
      <c r="L56" s="14"/>
      <c r="M56" s="10"/>
    </row>
    <row r="57" spans="1:13">
      <c r="A57" s="9"/>
      <c r="B57" s="10"/>
      <c r="C57" s="10"/>
      <c r="D57" s="10"/>
      <c r="E57" s="10"/>
      <c r="F57" s="10"/>
      <c r="G57" s="11"/>
      <c r="H57" s="10"/>
      <c r="I57" s="12"/>
      <c r="J57" s="12"/>
      <c r="K57" s="13"/>
      <c r="L57" s="14"/>
      <c r="M57" s="10"/>
    </row>
    <row r="58" spans="1:13">
      <c r="A58" s="9"/>
      <c r="B58" s="10"/>
      <c r="C58" s="10"/>
      <c r="D58" s="10"/>
      <c r="E58" s="10"/>
      <c r="F58" s="10"/>
      <c r="G58" s="11"/>
      <c r="H58" s="10"/>
      <c r="I58" s="12"/>
      <c r="J58" s="12"/>
      <c r="K58" s="13"/>
      <c r="L58" s="14"/>
      <c r="M58" s="10"/>
    </row>
    <row r="59" spans="1:13">
      <c r="A59" s="9"/>
      <c r="B59" s="10"/>
      <c r="C59" s="10"/>
      <c r="D59" s="10"/>
      <c r="E59" s="10"/>
      <c r="F59" s="10"/>
      <c r="G59" s="11"/>
      <c r="H59" s="10"/>
      <c r="I59" s="12"/>
      <c r="J59" s="12"/>
      <c r="K59" s="13"/>
      <c r="L59" s="14"/>
      <c r="M59" s="10"/>
    </row>
    <row r="60" spans="1:13">
      <c r="A60" s="9"/>
      <c r="B60" s="10"/>
      <c r="C60" s="10"/>
      <c r="D60" s="10"/>
      <c r="E60" s="10"/>
      <c r="F60" s="10"/>
      <c r="G60" s="11"/>
      <c r="H60" s="10"/>
      <c r="I60" s="12"/>
      <c r="J60" s="12"/>
      <c r="K60" s="13"/>
      <c r="L60" s="14"/>
      <c r="M60" s="10"/>
    </row>
    <row r="61" spans="1:13">
      <c r="A61" s="9"/>
      <c r="B61" s="10"/>
      <c r="C61" s="10"/>
      <c r="D61" s="10"/>
      <c r="E61" s="10"/>
      <c r="F61" s="10"/>
      <c r="G61" s="11"/>
      <c r="H61" s="10"/>
      <c r="I61" s="12"/>
      <c r="J61" s="12"/>
      <c r="K61" s="13"/>
      <c r="L61" s="14"/>
      <c r="M61" s="10"/>
    </row>
    <row r="62" spans="1:13">
      <c r="A62" s="9"/>
      <c r="B62" s="10"/>
      <c r="C62" s="10"/>
      <c r="D62" s="10"/>
      <c r="E62" s="10"/>
      <c r="F62" s="10"/>
      <c r="G62" s="11"/>
      <c r="H62" s="10"/>
      <c r="I62" s="12"/>
      <c r="J62" s="12"/>
      <c r="K62" s="13"/>
      <c r="L62" s="14"/>
      <c r="M62" s="10"/>
    </row>
  </sheetData>
  <mergeCells count="3">
    <mergeCell ref="A2:M2"/>
    <mergeCell ref="A3:M3"/>
    <mergeCell ref="A1:M1"/>
  </mergeCells>
  <pageMargins left="0.7" right="0.7" top="0.75" bottom="0.75" header="0.3" footer="0.3"/>
  <pageSetup paperSize="9" scale="47" orientation="landscape" r:id="rId1"/>
</worksheet>
</file>

<file path=xl/worksheets/sheet2.xml><?xml version="1.0" encoding="utf-8"?>
<worksheet xmlns="http://schemas.openxmlformats.org/spreadsheetml/2006/main" xmlns:r="http://schemas.openxmlformats.org/officeDocument/2006/relationships">
  <dimension ref="A1:N51"/>
  <sheetViews>
    <sheetView view="pageBreakPreview" zoomScale="70" zoomScaleSheetLayoutView="70" workbookViewId="0">
      <pane ySplit="7" topLeftCell="A10" activePane="bottomLeft" state="frozen"/>
      <selection pane="bottomLeft" activeCell="B10" sqref="B10"/>
    </sheetView>
  </sheetViews>
  <sheetFormatPr defaultRowHeight="15"/>
  <cols>
    <col min="1" max="1" width="4.42578125" style="4" customWidth="1"/>
    <col min="2" max="2" width="18.85546875" style="1" customWidth="1"/>
    <col min="3" max="3" width="24.7109375" style="49" customWidth="1"/>
    <col min="4" max="4" width="25.5703125" style="1" customWidth="1"/>
    <col min="5" max="5" width="19" style="1" customWidth="1"/>
    <col min="6" max="6" width="19.28515625" style="1" customWidth="1"/>
    <col min="7" max="7" width="13.7109375" style="4" customWidth="1"/>
    <col min="8" max="8" width="28" style="1" customWidth="1"/>
    <col min="9" max="9" width="23.42578125" style="5" customWidth="1"/>
    <col min="10" max="10" width="24.85546875" style="5" customWidth="1"/>
    <col min="11" max="11" width="14.85546875" style="6" customWidth="1"/>
    <col min="12" max="12" width="6.5703125" style="7" customWidth="1"/>
    <col min="13" max="13" width="36.85546875" style="1" customWidth="1"/>
  </cols>
  <sheetData>
    <row r="1" spans="1:14" ht="24" customHeight="1">
      <c r="A1" s="45" t="s">
        <v>17</v>
      </c>
      <c r="B1" s="45"/>
      <c r="C1" s="45"/>
      <c r="D1" s="45"/>
      <c r="E1" s="45"/>
      <c r="F1" s="45"/>
      <c r="G1" s="45"/>
      <c r="H1" s="45"/>
      <c r="I1" s="45"/>
      <c r="J1" s="45"/>
      <c r="K1" s="45"/>
      <c r="L1" s="45"/>
      <c r="M1" s="45"/>
    </row>
    <row r="2" spans="1:14" ht="26.25">
      <c r="A2" s="42" t="s">
        <v>23</v>
      </c>
      <c r="B2" s="42"/>
      <c r="C2" s="42"/>
      <c r="D2" s="42"/>
      <c r="E2" s="42"/>
      <c r="F2" s="42"/>
      <c r="G2" s="42"/>
      <c r="H2" s="42"/>
      <c r="I2" s="42"/>
      <c r="J2" s="42"/>
      <c r="K2" s="42"/>
      <c r="L2" s="42"/>
      <c r="M2" s="42"/>
    </row>
    <row r="3" spans="1:14" ht="26.25">
      <c r="A3" s="43" t="str">
        <f>'Links - COA 1'!A3:M3</f>
        <v xml:space="preserve"> Oct 2020</v>
      </c>
      <c r="B3" s="44"/>
      <c r="C3" s="44"/>
      <c r="D3" s="44"/>
      <c r="E3" s="44"/>
      <c r="F3" s="44"/>
      <c r="G3" s="44"/>
      <c r="H3" s="44"/>
      <c r="I3" s="44"/>
      <c r="J3" s="44"/>
      <c r="K3" s="44"/>
      <c r="L3" s="44"/>
      <c r="M3" s="44"/>
    </row>
    <row r="4" spans="1:14">
      <c r="L4" s="8" t="s">
        <v>22</v>
      </c>
      <c r="M4" s="17">
        <f>'Links - COA 1'!M4</f>
        <v>44089</v>
      </c>
    </row>
    <row r="5" spans="1:14" ht="18" customHeight="1">
      <c r="A5" s="15" t="s">
        <v>9</v>
      </c>
      <c r="B5" s="16" t="s">
        <v>11</v>
      </c>
      <c r="K5" s="8"/>
      <c r="L5" s="34" t="s">
        <v>0</v>
      </c>
      <c r="M5" s="17">
        <f>'Links - COA 1'!M5</f>
        <v>44091</v>
      </c>
    </row>
    <row r="6" spans="1:14" s="2" customFormat="1" ht="102.75" customHeight="1">
      <c r="A6" s="29" t="s">
        <v>1</v>
      </c>
      <c r="B6" s="30" t="s">
        <v>2</v>
      </c>
      <c r="C6" s="18" t="s">
        <v>24</v>
      </c>
      <c r="D6" s="18" t="s">
        <v>10</v>
      </c>
      <c r="E6" s="30" t="s">
        <v>16</v>
      </c>
      <c r="F6" s="18" t="s">
        <v>25</v>
      </c>
      <c r="G6" s="18" t="s">
        <v>13</v>
      </c>
      <c r="H6" s="31" t="s">
        <v>15</v>
      </c>
      <c r="I6" s="32" t="s">
        <v>26</v>
      </c>
      <c r="J6" s="32" t="s">
        <v>27</v>
      </c>
      <c r="K6" s="33" t="s">
        <v>7</v>
      </c>
      <c r="L6" s="22" t="s">
        <v>6</v>
      </c>
      <c r="M6" s="18" t="s">
        <v>5</v>
      </c>
      <c r="N6" s="3"/>
    </row>
    <row r="7" spans="1:14" ht="15.75" customHeight="1">
      <c r="A7" s="36">
        <v>1</v>
      </c>
      <c r="B7" s="36">
        <v>2</v>
      </c>
      <c r="C7" s="50">
        <v>3</v>
      </c>
      <c r="D7" s="38">
        <v>4</v>
      </c>
      <c r="E7" s="38">
        <v>5</v>
      </c>
      <c r="F7" s="38">
        <v>6</v>
      </c>
      <c r="G7" s="38">
        <v>7</v>
      </c>
      <c r="H7" s="38">
        <v>8</v>
      </c>
      <c r="I7" s="38">
        <v>9</v>
      </c>
      <c r="J7" s="38">
        <v>10</v>
      </c>
      <c r="K7" s="38">
        <v>11</v>
      </c>
      <c r="L7" s="38">
        <v>12</v>
      </c>
      <c r="M7" s="38">
        <v>13</v>
      </c>
    </row>
    <row r="8" spans="1:14">
      <c r="A8" s="23"/>
      <c r="B8" s="39" t="s">
        <v>28</v>
      </c>
      <c r="C8" s="40" t="s">
        <v>29</v>
      </c>
      <c r="D8" s="24"/>
      <c r="E8" s="24"/>
      <c r="F8" s="24"/>
      <c r="G8" s="23"/>
      <c r="H8" s="24"/>
      <c r="I8" s="25"/>
      <c r="J8" s="25"/>
      <c r="K8" s="26" t="str">
        <f>TEXT(J8-I8,"[hh]:mm")</f>
        <v>00:00</v>
      </c>
      <c r="L8" s="27"/>
      <c r="M8" s="24"/>
    </row>
    <row r="9" spans="1:14">
      <c r="A9" s="23"/>
      <c r="B9" s="39"/>
      <c r="C9" s="40"/>
      <c r="D9" s="24"/>
      <c r="E9" s="24"/>
      <c r="F9" s="24"/>
      <c r="G9" s="23"/>
      <c r="H9" s="24"/>
      <c r="I9" s="25"/>
      <c r="J9" s="25"/>
      <c r="K9" s="26"/>
      <c r="L9" s="27"/>
      <c r="M9" s="24"/>
    </row>
    <row r="10" spans="1:14">
      <c r="A10" s="23"/>
      <c r="B10" s="39" t="s">
        <v>30</v>
      </c>
      <c r="C10" s="40"/>
      <c r="D10" s="24"/>
      <c r="E10" s="24"/>
      <c r="F10" s="24"/>
      <c r="G10" s="23"/>
      <c r="H10" s="24"/>
      <c r="I10" s="25"/>
      <c r="J10" s="25"/>
      <c r="K10" s="26"/>
      <c r="L10" s="27"/>
      <c r="M10" s="24"/>
    </row>
    <row r="11" spans="1:14" ht="30">
      <c r="A11" s="28"/>
      <c r="B11" s="39"/>
      <c r="C11" s="40" t="s">
        <v>38</v>
      </c>
      <c r="D11" s="24" t="s">
        <v>49</v>
      </c>
      <c r="E11" s="24"/>
      <c r="F11" s="24"/>
      <c r="G11" s="23" t="s">
        <v>30</v>
      </c>
      <c r="H11" s="40" t="s">
        <v>39</v>
      </c>
      <c r="I11" s="25">
        <v>44105.479166666664</v>
      </c>
      <c r="J11" s="25">
        <v>44105.604166666664</v>
      </c>
      <c r="K11" s="26" t="str">
        <f>TEXT(J11-I11,"[hh]:mm")</f>
        <v>03:00</v>
      </c>
      <c r="L11" s="27"/>
      <c r="M11" s="24" t="s">
        <v>40</v>
      </c>
    </row>
    <row r="12" spans="1:14" ht="30">
      <c r="A12" s="28"/>
      <c r="B12" s="39"/>
      <c r="C12" s="40" t="s">
        <v>38</v>
      </c>
      <c r="D12" s="24" t="s">
        <v>50</v>
      </c>
      <c r="E12" s="24"/>
      <c r="F12" s="24"/>
      <c r="G12" s="23" t="s">
        <v>30</v>
      </c>
      <c r="H12" s="40" t="s">
        <v>39</v>
      </c>
      <c r="I12" s="25">
        <v>44110.479166666664</v>
      </c>
      <c r="J12" s="25">
        <v>44110.604166666664</v>
      </c>
      <c r="K12" s="26" t="str">
        <f t="shared" ref="K12:K19" si="0">TEXT(J12-I12,"[hh]:mm")</f>
        <v>03:00</v>
      </c>
      <c r="L12" s="27"/>
      <c r="M12" s="24" t="s">
        <v>41</v>
      </c>
    </row>
    <row r="13" spans="1:14" ht="30">
      <c r="A13" s="28"/>
      <c r="B13" s="39"/>
      <c r="C13" s="40" t="s">
        <v>38</v>
      </c>
      <c r="D13" s="24" t="s">
        <v>51</v>
      </c>
      <c r="E13" s="24"/>
      <c r="F13" s="24"/>
      <c r="G13" s="23" t="s">
        <v>30</v>
      </c>
      <c r="H13" s="40" t="s">
        <v>39</v>
      </c>
      <c r="I13" s="25">
        <v>44107.479166666664</v>
      </c>
      <c r="J13" s="25">
        <v>44107.604166666664</v>
      </c>
      <c r="K13" s="26" t="str">
        <f t="shared" si="0"/>
        <v>03:00</v>
      </c>
      <c r="L13" s="27"/>
      <c r="M13" s="24" t="s">
        <v>42</v>
      </c>
    </row>
    <row r="14" spans="1:14" ht="30">
      <c r="A14" s="28"/>
      <c r="B14" s="39"/>
      <c r="C14" s="40" t="s">
        <v>38</v>
      </c>
      <c r="D14" s="24" t="s">
        <v>52</v>
      </c>
      <c r="E14" s="24"/>
      <c r="F14" s="24"/>
      <c r="G14" s="23" t="s">
        <v>30</v>
      </c>
      <c r="H14" s="40" t="s">
        <v>39</v>
      </c>
      <c r="I14" s="25">
        <v>44116.479166666664</v>
      </c>
      <c r="J14" s="25">
        <v>44116.604166666664</v>
      </c>
      <c r="K14" s="26" t="str">
        <f t="shared" si="0"/>
        <v>03:00</v>
      </c>
      <c r="L14" s="27"/>
      <c r="M14" s="24" t="s">
        <v>43</v>
      </c>
    </row>
    <row r="15" spans="1:14" ht="30">
      <c r="A15" s="28"/>
      <c r="B15" s="39"/>
      <c r="C15" s="40" t="s">
        <v>38</v>
      </c>
      <c r="D15" s="24" t="s">
        <v>53</v>
      </c>
      <c r="E15" s="24"/>
      <c r="F15" s="24"/>
      <c r="G15" s="23" t="s">
        <v>30</v>
      </c>
      <c r="H15" s="40" t="s">
        <v>39</v>
      </c>
      <c r="I15" s="25">
        <v>44118.479166666664</v>
      </c>
      <c r="J15" s="25">
        <v>44118.604166666664</v>
      </c>
      <c r="K15" s="26" t="str">
        <f t="shared" si="0"/>
        <v>03:00</v>
      </c>
      <c r="L15" s="27"/>
      <c r="M15" s="24" t="s">
        <v>44</v>
      </c>
    </row>
    <row r="16" spans="1:14" ht="30">
      <c r="A16" s="28"/>
      <c r="B16" s="39"/>
      <c r="C16" s="40" t="s">
        <v>38</v>
      </c>
      <c r="D16" s="24" t="s">
        <v>54</v>
      </c>
      <c r="E16" s="24"/>
      <c r="F16" s="24"/>
      <c r="G16" s="23" t="s">
        <v>30</v>
      </c>
      <c r="H16" s="40" t="s">
        <v>39</v>
      </c>
      <c r="I16" s="25">
        <v>44119.479166666664</v>
      </c>
      <c r="J16" s="25">
        <v>44119.604166666664</v>
      </c>
      <c r="K16" s="26" t="str">
        <f t="shared" si="0"/>
        <v>03:00</v>
      </c>
      <c r="L16" s="27"/>
      <c r="M16" s="24" t="s">
        <v>45</v>
      </c>
    </row>
    <row r="17" spans="1:13" ht="30">
      <c r="A17" s="28"/>
      <c r="B17" s="39"/>
      <c r="C17" s="40" t="s">
        <v>38</v>
      </c>
      <c r="D17" s="24" t="s">
        <v>55</v>
      </c>
      <c r="E17" s="24"/>
      <c r="F17" s="24"/>
      <c r="G17" s="23" t="s">
        <v>30</v>
      </c>
      <c r="H17" s="40" t="s">
        <v>39</v>
      </c>
      <c r="I17" s="25">
        <v>44124.479166666664</v>
      </c>
      <c r="J17" s="25">
        <v>44124.604166666664</v>
      </c>
      <c r="K17" s="26" t="str">
        <f t="shared" si="0"/>
        <v>03:00</v>
      </c>
      <c r="L17" s="27"/>
      <c r="M17" s="24" t="s">
        <v>46</v>
      </c>
    </row>
    <row r="18" spans="1:13" ht="30">
      <c r="A18" s="28"/>
      <c r="B18" s="39"/>
      <c r="C18" s="40" t="s">
        <v>38</v>
      </c>
      <c r="D18" s="24" t="s">
        <v>56</v>
      </c>
      <c r="E18" s="24"/>
      <c r="F18" s="24"/>
      <c r="G18" s="23" t="s">
        <v>30</v>
      </c>
      <c r="H18" s="40" t="s">
        <v>39</v>
      </c>
      <c r="I18" s="25">
        <v>44126.479166666664</v>
      </c>
      <c r="J18" s="25">
        <v>44126.604166666664</v>
      </c>
      <c r="K18" s="26" t="str">
        <f t="shared" si="0"/>
        <v>03:00</v>
      </c>
      <c r="L18" s="27"/>
      <c r="M18" s="24" t="s">
        <v>47</v>
      </c>
    </row>
    <row r="19" spans="1:13" ht="30">
      <c r="A19" s="28"/>
      <c r="B19" s="39"/>
      <c r="C19" s="40" t="s">
        <v>38</v>
      </c>
      <c r="D19" s="24" t="s">
        <v>57</v>
      </c>
      <c r="E19" s="24"/>
      <c r="F19" s="24"/>
      <c r="G19" s="23" t="s">
        <v>30</v>
      </c>
      <c r="H19" s="40" t="s">
        <v>39</v>
      </c>
      <c r="I19" s="25">
        <v>44129.479166666664</v>
      </c>
      <c r="J19" s="25">
        <v>44129.604166666664</v>
      </c>
      <c r="K19" s="26" t="str">
        <f t="shared" si="0"/>
        <v>03:00</v>
      </c>
      <c r="L19" s="27"/>
      <c r="M19" s="24" t="s">
        <v>48</v>
      </c>
    </row>
    <row r="20" spans="1:13">
      <c r="A20" s="28"/>
      <c r="B20" s="39"/>
      <c r="C20" s="40"/>
      <c r="D20" s="24"/>
      <c r="E20" s="24"/>
      <c r="F20" s="24"/>
      <c r="G20" s="23"/>
      <c r="H20" s="24"/>
      <c r="I20" s="25"/>
      <c r="J20" s="25"/>
      <c r="K20" s="26"/>
      <c r="L20" s="27"/>
      <c r="M20" s="24"/>
    </row>
    <row r="21" spans="1:13">
      <c r="A21" s="28"/>
      <c r="B21" s="39" t="s">
        <v>31</v>
      </c>
      <c r="C21" s="40" t="s">
        <v>29</v>
      </c>
      <c r="D21" s="24"/>
      <c r="E21" s="24"/>
      <c r="F21" s="24"/>
      <c r="G21" s="23"/>
      <c r="H21" s="24"/>
      <c r="I21" s="25"/>
      <c r="J21" s="25"/>
      <c r="K21" s="26" t="str">
        <f>TEXT(J21-I21,"[hh]:mm")</f>
        <v>00:00</v>
      </c>
      <c r="L21" s="27"/>
      <c r="M21" s="24"/>
    </row>
    <row r="22" spans="1:13">
      <c r="A22" s="28"/>
      <c r="B22" s="39"/>
      <c r="C22" s="40"/>
      <c r="D22" s="24"/>
      <c r="E22" s="24"/>
      <c r="F22" s="24"/>
      <c r="G22" s="23"/>
      <c r="H22" s="24"/>
      <c r="I22" s="25"/>
      <c r="J22" s="25"/>
      <c r="K22" s="26"/>
      <c r="L22" s="27"/>
      <c r="M22" s="24"/>
    </row>
    <row r="23" spans="1:13">
      <c r="A23" s="28"/>
      <c r="B23" s="39" t="s">
        <v>32</v>
      </c>
      <c r="C23" s="40" t="s">
        <v>29</v>
      </c>
      <c r="D23" s="24"/>
      <c r="E23" s="24"/>
      <c r="F23" s="24"/>
      <c r="G23" s="23"/>
      <c r="H23" s="24"/>
      <c r="I23" s="25"/>
      <c r="J23" s="25"/>
      <c r="K23" s="26" t="str">
        <f>TEXT(J23-I23,"[hh]:mm")</f>
        <v>00:00</v>
      </c>
      <c r="L23" s="27"/>
      <c r="M23" s="24"/>
    </row>
    <row r="24" spans="1:13">
      <c r="A24" s="28"/>
      <c r="B24" s="39"/>
      <c r="C24" s="40"/>
      <c r="D24" s="24"/>
      <c r="E24" s="24"/>
      <c r="F24" s="24"/>
      <c r="G24" s="23"/>
      <c r="H24" s="24"/>
      <c r="I24" s="25"/>
      <c r="J24" s="25"/>
      <c r="K24" s="26"/>
      <c r="L24" s="27"/>
      <c r="M24" s="24"/>
    </row>
    <row r="25" spans="1:13">
      <c r="A25" s="28"/>
      <c r="B25" s="39" t="s">
        <v>33</v>
      </c>
      <c r="C25" s="40" t="s">
        <v>29</v>
      </c>
      <c r="D25" s="24"/>
      <c r="E25" s="24"/>
      <c r="F25" s="24"/>
      <c r="G25" s="23"/>
      <c r="H25" s="24"/>
      <c r="I25" s="25"/>
      <c r="J25" s="25"/>
      <c r="K25" s="26" t="str">
        <f>TEXT(J25-I25,"[hh]:mm")</f>
        <v>00:00</v>
      </c>
      <c r="L25" s="27"/>
      <c r="M25" s="24"/>
    </row>
    <row r="26" spans="1:13">
      <c r="A26" s="28"/>
      <c r="B26" s="39"/>
      <c r="C26" s="40"/>
      <c r="D26" s="24"/>
      <c r="E26" s="24"/>
      <c r="F26" s="24"/>
      <c r="G26" s="23"/>
      <c r="H26" s="24"/>
      <c r="I26" s="25"/>
      <c r="J26" s="25"/>
      <c r="K26" s="26"/>
      <c r="L26" s="27"/>
      <c r="M26" s="24"/>
    </row>
    <row r="27" spans="1:13">
      <c r="A27" s="28"/>
      <c r="B27" s="39" t="s">
        <v>34</v>
      </c>
      <c r="C27" s="40" t="s">
        <v>29</v>
      </c>
      <c r="D27" s="24"/>
      <c r="E27" s="24"/>
      <c r="F27" s="24"/>
      <c r="G27" s="23"/>
      <c r="H27" s="24"/>
      <c r="I27" s="25"/>
      <c r="J27" s="25"/>
      <c r="K27" s="26" t="str">
        <f>TEXT(J27-I27,"[hh]:mm")</f>
        <v>00:00</v>
      </c>
      <c r="L27" s="27"/>
      <c r="M27" s="24"/>
    </row>
    <row r="28" spans="1:13">
      <c r="A28" s="28"/>
      <c r="B28" s="39"/>
      <c r="C28" s="40"/>
      <c r="D28" s="24"/>
      <c r="E28" s="24"/>
      <c r="F28" s="24"/>
      <c r="G28" s="23"/>
      <c r="H28" s="24"/>
      <c r="I28" s="25"/>
      <c r="J28" s="25"/>
      <c r="K28" s="26"/>
      <c r="L28" s="27"/>
      <c r="M28" s="24"/>
    </row>
    <row r="29" spans="1:13">
      <c r="A29" s="28"/>
      <c r="B29" s="39" t="s">
        <v>35</v>
      </c>
      <c r="C29" s="40"/>
      <c r="D29" s="24"/>
      <c r="E29" s="24"/>
      <c r="F29" s="24"/>
      <c r="G29" s="23"/>
      <c r="H29" s="24"/>
      <c r="I29" s="25"/>
      <c r="J29" s="25"/>
      <c r="K29" s="26"/>
      <c r="L29" s="27"/>
      <c r="M29" s="24"/>
    </row>
    <row r="30" spans="1:13" ht="45">
      <c r="A30" s="23">
        <v>1</v>
      </c>
      <c r="B30" s="39"/>
      <c r="C30" s="47" t="s">
        <v>67</v>
      </c>
      <c r="D30" s="46" t="s">
        <v>64</v>
      </c>
      <c r="E30" s="46"/>
      <c r="F30" s="46"/>
      <c r="G30" s="48" t="s">
        <v>35</v>
      </c>
      <c r="H30" s="40" t="s">
        <v>65</v>
      </c>
      <c r="I30" s="25">
        <v>44125.541666666664</v>
      </c>
      <c r="J30" s="25">
        <v>44125.604166666664</v>
      </c>
      <c r="K30" s="26" t="str">
        <f>TEXT(J30-I30,"[hh]:mm")</f>
        <v>01:30</v>
      </c>
      <c r="L30" s="27"/>
      <c r="M30" s="24" t="s">
        <v>66</v>
      </c>
    </row>
    <row r="31" spans="1:13" ht="60">
      <c r="A31" s="23">
        <v>2</v>
      </c>
      <c r="B31" s="39"/>
      <c r="C31" s="47" t="s">
        <v>68</v>
      </c>
      <c r="D31" s="46" t="s">
        <v>64</v>
      </c>
      <c r="E31" s="46"/>
      <c r="F31" s="46"/>
      <c r="G31" s="48" t="s">
        <v>35</v>
      </c>
      <c r="H31" s="40" t="s">
        <v>65</v>
      </c>
      <c r="I31" s="25">
        <v>44125.541666666664</v>
      </c>
      <c r="J31" s="25">
        <v>44125.604166666664</v>
      </c>
      <c r="K31" s="26" t="str">
        <f t="shared" ref="K31:K46" si="1">TEXT(J31-I31,"[hh]:mm")</f>
        <v>01:30</v>
      </c>
      <c r="L31" s="27"/>
      <c r="M31" s="24" t="s">
        <v>66</v>
      </c>
    </row>
    <row r="32" spans="1:13" ht="30">
      <c r="A32" s="23">
        <v>3</v>
      </c>
      <c r="B32" s="39"/>
      <c r="C32" s="40" t="s">
        <v>70</v>
      </c>
      <c r="D32" s="24" t="s">
        <v>69</v>
      </c>
      <c r="E32" s="24"/>
      <c r="F32" s="24"/>
      <c r="G32" s="23" t="s">
        <v>35</v>
      </c>
      <c r="H32" s="40" t="s">
        <v>65</v>
      </c>
      <c r="I32" s="25">
        <v>44126.458333333336</v>
      </c>
      <c r="J32" s="25">
        <v>44126.520833333336</v>
      </c>
      <c r="K32" s="26" t="str">
        <f t="shared" si="1"/>
        <v>01:30</v>
      </c>
      <c r="L32" s="27"/>
      <c r="M32" s="24" t="s">
        <v>72</v>
      </c>
    </row>
    <row r="33" spans="1:13" ht="30">
      <c r="A33" s="23">
        <v>4</v>
      </c>
      <c r="B33" s="39"/>
      <c r="C33" s="40" t="s">
        <v>71</v>
      </c>
      <c r="D33" s="24" t="s">
        <v>69</v>
      </c>
      <c r="E33" s="24"/>
      <c r="F33" s="24"/>
      <c r="G33" s="23" t="s">
        <v>35</v>
      </c>
      <c r="H33" s="40" t="s">
        <v>65</v>
      </c>
      <c r="I33" s="25">
        <v>44126.458333333336</v>
      </c>
      <c r="J33" s="25">
        <v>44126.520833333336</v>
      </c>
      <c r="K33" s="26" t="str">
        <f t="shared" si="1"/>
        <v>01:30</v>
      </c>
      <c r="L33" s="27"/>
      <c r="M33" s="24" t="s">
        <v>73</v>
      </c>
    </row>
    <row r="34" spans="1:13" ht="90">
      <c r="A34" s="23">
        <v>5</v>
      </c>
      <c r="B34" s="39"/>
      <c r="C34" s="47" t="s">
        <v>81</v>
      </c>
      <c r="D34" s="24" t="s">
        <v>76</v>
      </c>
      <c r="E34" s="24"/>
      <c r="F34" s="24"/>
      <c r="G34" s="23" t="s">
        <v>35</v>
      </c>
      <c r="H34" s="40" t="s">
        <v>77</v>
      </c>
      <c r="I34" s="25">
        <v>44125.458333333336</v>
      </c>
      <c r="J34" s="25">
        <v>44125.520833333336</v>
      </c>
      <c r="K34" s="26" t="str">
        <f t="shared" si="1"/>
        <v>01:30</v>
      </c>
      <c r="L34" s="27"/>
      <c r="M34" s="40" t="s">
        <v>80</v>
      </c>
    </row>
    <row r="35" spans="1:13" ht="90">
      <c r="A35" s="23">
        <v>6</v>
      </c>
      <c r="B35" s="39"/>
      <c r="C35" s="40" t="s">
        <v>82</v>
      </c>
      <c r="D35" s="24" t="s">
        <v>76</v>
      </c>
      <c r="E35" s="24"/>
      <c r="F35" s="24"/>
      <c r="G35" s="23" t="s">
        <v>35</v>
      </c>
      <c r="H35" s="40" t="s">
        <v>77</v>
      </c>
      <c r="I35" s="25">
        <v>44125.458333333336</v>
      </c>
      <c r="J35" s="25">
        <v>44125.520833333336</v>
      </c>
      <c r="K35" s="26" t="str">
        <f t="shared" ref="K35" si="2">TEXT(J35-I35,"[hh]:mm")</f>
        <v>01:30</v>
      </c>
      <c r="L35" s="27"/>
      <c r="M35" s="40" t="s">
        <v>83</v>
      </c>
    </row>
    <row r="36" spans="1:13" ht="90">
      <c r="A36" s="23">
        <v>7</v>
      </c>
      <c r="B36" s="39"/>
      <c r="C36" s="47" t="s">
        <v>74</v>
      </c>
      <c r="D36" s="24" t="s">
        <v>76</v>
      </c>
      <c r="E36" s="24"/>
      <c r="F36" s="24"/>
      <c r="G36" s="23" t="s">
        <v>35</v>
      </c>
      <c r="H36" s="40" t="s">
        <v>77</v>
      </c>
      <c r="I36" s="25">
        <v>44125.458333333336</v>
      </c>
      <c r="J36" s="25">
        <v>44125.520833333336</v>
      </c>
      <c r="K36" s="26" t="str">
        <f t="shared" si="1"/>
        <v>01:30</v>
      </c>
      <c r="L36" s="27"/>
      <c r="M36" s="24" t="s">
        <v>78</v>
      </c>
    </row>
    <row r="37" spans="1:13" ht="90">
      <c r="A37" s="23">
        <v>8</v>
      </c>
      <c r="B37" s="39"/>
      <c r="C37" s="40" t="s">
        <v>75</v>
      </c>
      <c r="D37" s="24" t="s">
        <v>76</v>
      </c>
      <c r="E37" s="24"/>
      <c r="F37" s="24"/>
      <c r="G37" s="23" t="s">
        <v>35</v>
      </c>
      <c r="H37" s="40" t="s">
        <v>77</v>
      </c>
      <c r="I37" s="25">
        <v>44125.458333333336</v>
      </c>
      <c r="J37" s="25">
        <v>44125.520833333336</v>
      </c>
      <c r="K37" s="26" t="str">
        <f t="shared" si="1"/>
        <v>01:30</v>
      </c>
      <c r="L37" s="27"/>
      <c r="M37" s="24" t="s">
        <v>79</v>
      </c>
    </row>
    <row r="38" spans="1:13" ht="90">
      <c r="A38" s="23">
        <v>9</v>
      </c>
      <c r="B38" s="39"/>
      <c r="C38" s="40" t="s">
        <v>85</v>
      </c>
      <c r="D38" s="24" t="s">
        <v>84</v>
      </c>
      <c r="E38" s="24"/>
      <c r="F38" s="24"/>
      <c r="G38" s="23" t="s">
        <v>35</v>
      </c>
      <c r="H38" s="40" t="s">
        <v>77</v>
      </c>
      <c r="I38" s="25">
        <v>44111.458333333336</v>
      </c>
      <c r="J38" s="25">
        <v>44111.520833333336</v>
      </c>
      <c r="K38" s="26" t="str">
        <f t="shared" si="1"/>
        <v>01:30</v>
      </c>
      <c r="L38" s="27"/>
      <c r="M38" s="24" t="s">
        <v>88</v>
      </c>
    </row>
    <row r="39" spans="1:13" ht="90">
      <c r="A39" s="23">
        <v>10</v>
      </c>
      <c r="B39" s="39"/>
      <c r="C39" s="40" t="s">
        <v>86</v>
      </c>
      <c r="D39" s="24" t="s">
        <v>84</v>
      </c>
      <c r="E39" s="24"/>
      <c r="F39" s="24"/>
      <c r="G39" s="23" t="s">
        <v>35</v>
      </c>
      <c r="H39" s="40" t="s">
        <v>77</v>
      </c>
      <c r="I39" s="25">
        <v>44111.458333333336</v>
      </c>
      <c r="J39" s="25">
        <v>44111.520833333336</v>
      </c>
      <c r="K39" s="26" t="str">
        <f t="shared" si="1"/>
        <v>01:30</v>
      </c>
      <c r="L39" s="27"/>
      <c r="M39" s="24" t="s">
        <v>89</v>
      </c>
    </row>
    <row r="40" spans="1:13" ht="90">
      <c r="A40" s="23">
        <v>11</v>
      </c>
      <c r="B40" s="39"/>
      <c r="C40" s="40" t="s">
        <v>74</v>
      </c>
      <c r="D40" s="24" t="s">
        <v>84</v>
      </c>
      <c r="E40" s="24"/>
      <c r="F40" s="24"/>
      <c r="G40" s="23" t="s">
        <v>35</v>
      </c>
      <c r="H40" s="41" t="s">
        <v>77</v>
      </c>
      <c r="I40" s="25">
        <v>44111.458333333336</v>
      </c>
      <c r="J40" s="25">
        <v>44111.520833333336</v>
      </c>
      <c r="K40" s="26" t="str">
        <f t="shared" si="1"/>
        <v>01:30</v>
      </c>
      <c r="L40" s="27"/>
      <c r="M40" s="24" t="s">
        <v>90</v>
      </c>
    </row>
    <row r="41" spans="1:13" ht="90">
      <c r="A41" s="23">
        <v>12</v>
      </c>
      <c r="B41" s="39"/>
      <c r="C41" s="40" t="s">
        <v>87</v>
      </c>
      <c r="D41" s="24" t="s">
        <v>84</v>
      </c>
      <c r="E41" s="24"/>
      <c r="F41" s="24"/>
      <c r="G41" s="23" t="s">
        <v>35</v>
      </c>
      <c r="H41" s="41" t="s">
        <v>77</v>
      </c>
      <c r="I41" s="25">
        <v>44111.458333333336</v>
      </c>
      <c r="J41" s="25">
        <v>44111.520833333336</v>
      </c>
      <c r="K41" s="26" t="str">
        <f t="shared" si="1"/>
        <v>01:30</v>
      </c>
      <c r="L41" s="27"/>
      <c r="M41" s="24" t="s">
        <v>91</v>
      </c>
    </row>
    <row r="42" spans="1:13" ht="90">
      <c r="A42" s="23">
        <v>13</v>
      </c>
      <c r="B42" s="39"/>
      <c r="C42" s="40" t="s">
        <v>85</v>
      </c>
      <c r="D42" s="24" t="s">
        <v>92</v>
      </c>
      <c r="E42" s="24"/>
      <c r="F42" s="24"/>
      <c r="G42" s="23" t="s">
        <v>35</v>
      </c>
      <c r="H42" s="41" t="s">
        <v>77</v>
      </c>
      <c r="I42" s="25">
        <v>44118.458333333336</v>
      </c>
      <c r="J42" s="25">
        <v>44118.520833333336</v>
      </c>
      <c r="K42" s="26" t="str">
        <f t="shared" si="1"/>
        <v>01:30</v>
      </c>
      <c r="L42" s="27"/>
      <c r="M42" s="46" t="s">
        <v>66</v>
      </c>
    </row>
    <row r="43" spans="1:13" ht="90">
      <c r="A43" s="23">
        <v>14</v>
      </c>
      <c r="B43" s="39"/>
      <c r="C43" s="40" t="s">
        <v>86</v>
      </c>
      <c r="D43" s="24" t="s">
        <v>92</v>
      </c>
      <c r="E43" s="24"/>
      <c r="F43" s="24"/>
      <c r="G43" s="23" t="s">
        <v>35</v>
      </c>
      <c r="H43" s="41" t="s">
        <v>77</v>
      </c>
      <c r="I43" s="25">
        <v>44118.458333333336</v>
      </c>
      <c r="J43" s="25">
        <v>44118.520833333336</v>
      </c>
      <c r="K43" s="26" t="str">
        <f t="shared" si="1"/>
        <v>01:30</v>
      </c>
      <c r="L43" s="27"/>
      <c r="M43" s="46" t="s">
        <v>66</v>
      </c>
    </row>
    <row r="44" spans="1:13" ht="90">
      <c r="A44" s="23">
        <v>15</v>
      </c>
      <c r="B44" s="39"/>
      <c r="C44" s="40" t="s">
        <v>74</v>
      </c>
      <c r="D44" s="24" t="s">
        <v>92</v>
      </c>
      <c r="E44" s="24"/>
      <c r="F44" s="24"/>
      <c r="G44" s="23" t="s">
        <v>35</v>
      </c>
      <c r="H44" s="41" t="s">
        <v>77</v>
      </c>
      <c r="I44" s="25">
        <v>44118.458333333336</v>
      </c>
      <c r="J44" s="25">
        <v>44118.520833333336</v>
      </c>
      <c r="K44" s="26" t="str">
        <f t="shared" si="1"/>
        <v>01:30</v>
      </c>
      <c r="L44" s="27"/>
      <c r="M44" s="46" t="s">
        <v>66</v>
      </c>
    </row>
    <row r="45" spans="1:13" ht="90">
      <c r="A45" s="23">
        <v>16</v>
      </c>
      <c r="B45" s="39"/>
      <c r="C45" s="40" t="s">
        <v>87</v>
      </c>
      <c r="D45" s="24" t="s">
        <v>92</v>
      </c>
      <c r="E45" s="24"/>
      <c r="F45" s="24"/>
      <c r="G45" s="23" t="s">
        <v>35</v>
      </c>
      <c r="H45" s="41" t="s">
        <v>77</v>
      </c>
      <c r="I45" s="25">
        <v>44118.458333333336</v>
      </c>
      <c r="J45" s="25">
        <v>44118.520833333336</v>
      </c>
      <c r="K45" s="26" t="str">
        <f t="shared" si="1"/>
        <v>01:30</v>
      </c>
      <c r="L45" s="27"/>
      <c r="M45" s="46" t="s">
        <v>66</v>
      </c>
    </row>
    <row r="46" spans="1:13">
      <c r="A46" s="23"/>
      <c r="B46" s="39"/>
      <c r="C46" s="40"/>
      <c r="D46" s="24"/>
      <c r="E46" s="24"/>
      <c r="F46" s="24"/>
      <c r="G46" s="23"/>
      <c r="H46" s="24"/>
      <c r="I46" s="25"/>
      <c r="J46" s="25"/>
      <c r="K46" s="26"/>
      <c r="L46" s="27"/>
      <c r="M46" s="24"/>
    </row>
    <row r="47" spans="1:13">
      <c r="A47" s="23"/>
      <c r="B47" s="39" t="s">
        <v>36</v>
      </c>
      <c r="C47" s="40" t="s">
        <v>29</v>
      </c>
      <c r="D47" s="24"/>
      <c r="E47" s="24"/>
      <c r="F47" s="24"/>
      <c r="G47" s="23"/>
      <c r="H47" s="24"/>
      <c r="I47" s="25"/>
      <c r="J47" s="25"/>
      <c r="K47" s="26"/>
      <c r="L47" s="27"/>
      <c r="M47" s="24"/>
    </row>
    <row r="48" spans="1:13">
      <c r="A48" s="23"/>
      <c r="B48" s="24"/>
      <c r="C48" s="41"/>
      <c r="D48" s="23"/>
      <c r="E48" s="23"/>
      <c r="F48" s="23"/>
      <c r="G48" s="23"/>
      <c r="H48" s="40"/>
      <c r="I48" s="25"/>
      <c r="J48" s="25"/>
      <c r="K48" s="26" t="str">
        <f>TEXT(J48-I48,"[hh]:mm")</f>
        <v>00:00</v>
      </c>
      <c r="L48" s="27"/>
      <c r="M48" s="28"/>
    </row>
    <row r="49" spans="1:13">
      <c r="A49" s="23"/>
      <c r="B49" s="24"/>
      <c r="C49" s="41"/>
      <c r="D49" s="23"/>
      <c r="E49" s="23"/>
      <c r="F49" s="23"/>
      <c r="G49" s="23"/>
      <c r="H49" s="40"/>
      <c r="I49" s="25"/>
      <c r="J49" s="25"/>
      <c r="K49" s="26" t="str">
        <f t="shared" ref="K49:K51" si="3">TEXT(J49-I49,"[hh]:mm")</f>
        <v>00:00</v>
      </c>
      <c r="L49" s="27"/>
      <c r="M49" s="28"/>
    </row>
    <row r="50" spans="1:13">
      <c r="A50" s="23"/>
      <c r="B50" s="24"/>
      <c r="C50" s="41"/>
      <c r="D50" s="23"/>
      <c r="E50" s="23"/>
      <c r="F50" s="23"/>
      <c r="G50" s="23"/>
      <c r="H50" s="40"/>
      <c r="I50" s="25"/>
      <c r="J50" s="25"/>
      <c r="K50" s="26" t="str">
        <f t="shared" si="3"/>
        <v>00:00</v>
      </c>
      <c r="L50" s="27"/>
      <c r="M50" s="28"/>
    </row>
    <row r="51" spans="1:13">
      <c r="A51" s="23"/>
      <c r="B51" s="24"/>
      <c r="C51" s="41"/>
      <c r="D51" s="23"/>
      <c r="E51" s="23"/>
      <c r="F51" s="23"/>
      <c r="G51" s="23"/>
      <c r="H51" s="40"/>
      <c r="I51" s="25"/>
      <c r="J51" s="25"/>
      <c r="K51" s="26" t="str">
        <f t="shared" si="3"/>
        <v>00:00</v>
      </c>
      <c r="L51" s="27"/>
      <c r="M51" s="28"/>
    </row>
  </sheetData>
  <mergeCells count="3">
    <mergeCell ref="A1:M1"/>
    <mergeCell ref="A2:M2"/>
    <mergeCell ref="A3:M3"/>
  </mergeCells>
  <pageMargins left="0.7" right="0.7" top="0.75" bottom="0.75" header="0.3" footer="0.3"/>
  <pageSetup paperSize="9" scale="47"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Links - COA 1</vt:lpstr>
      <vt:lpstr>Equipment - COA 2</vt:lpstr>
      <vt:lpstr>'Equipment - COA 2'!Print_Area</vt:lpstr>
      <vt:lpstr>'Links - COA 1'!Print_Area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2020-09-15T19:23:03Z</dcterms:modified>
</cp:coreProperties>
</file>